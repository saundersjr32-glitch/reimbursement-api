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urchofjesuschrist-my.sharepoint.com/personal/saundersjr_churchofjesuschrist_org/Documents/Documents/Teacher Training/Travel Reimbursements/"/>
    </mc:Choice>
  </mc:AlternateContent>
  <xr:revisionPtr revIDLastSave="0" documentId="8_{1918220D-32C4-4571-855C-F64795B5C5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imbursement Request" sheetId="3" r:id="rId1"/>
    <sheet name="Receipt Detail" sheetId="2" state="hidden" r:id="rId2"/>
    <sheet name="Lookups" sheetId="4" state="hidden" r:id="rId3"/>
    <sheet name="Additional Varied Travel" sheetId="5" r:id="rId4"/>
  </sheets>
  <definedNames>
    <definedName name="name">'Reimbursement Request'!#REF!</definedName>
    <definedName name="_xlnm.Print_Area" localSheetId="0">'Reimbursement Request'!$A$1:$W$69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9" i="3" l="1"/>
  <c r="V58" i="3"/>
  <c r="V57" i="3"/>
  <c r="V56" i="3"/>
  <c r="C1" i="5" l="1"/>
  <c r="G3" i="5" s="1"/>
  <c r="G11" i="5" l="1"/>
  <c r="G12" i="5"/>
  <c r="G13" i="5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 l="1"/>
  <c r="V60" i="3" l="1"/>
  <c r="Q64" i="3" s="1"/>
  <c r="S18" i="3"/>
  <c r="S24" i="3" l="1"/>
  <c r="S20" i="3"/>
  <c r="G5" i="5"/>
  <c r="E56" i="5"/>
  <c r="G56" i="5" s="1"/>
  <c r="E55" i="5"/>
  <c r="G55" i="5" s="1"/>
  <c r="E54" i="5"/>
  <c r="G54" i="5" s="1"/>
  <c r="E53" i="5"/>
  <c r="G53" i="5" s="1"/>
  <c r="E52" i="5"/>
  <c r="G52" i="5" s="1"/>
  <c r="E51" i="5"/>
  <c r="G51" i="5" s="1"/>
  <c r="E50" i="5"/>
  <c r="G50" i="5" s="1"/>
  <c r="E49" i="5"/>
  <c r="G49" i="5" s="1"/>
  <c r="E48" i="5"/>
  <c r="G48" i="5" s="1"/>
  <c r="E47" i="5"/>
  <c r="G47" i="5" s="1"/>
  <c r="E46" i="5"/>
  <c r="G46" i="5" s="1"/>
  <c r="E45" i="5"/>
  <c r="G45" i="5" s="1"/>
  <c r="E44" i="5"/>
  <c r="G44" i="5" s="1"/>
  <c r="E43" i="5"/>
  <c r="G43" i="5" s="1"/>
  <c r="E42" i="5"/>
  <c r="G42" i="5" s="1"/>
  <c r="E41" i="5"/>
  <c r="G41" i="5" s="1"/>
  <c r="E40" i="5"/>
  <c r="G40" i="5" s="1"/>
  <c r="E39" i="5"/>
  <c r="G39" i="5" s="1"/>
  <c r="E38" i="5"/>
  <c r="G38" i="5" s="1"/>
  <c r="E37" i="5"/>
  <c r="G37" i="5" s="1"/>
  <c r="E36" i="5"/>
  <c r="G36" i="5" s="1"/>
  <c r="E35" i="5"/>
  <c r="G35" i="5" s="1"/>
  <c r="E34" i="5"/>
  <c r="G34" i="5" s="1"/>
  <c r="E33" i="5"/>
  <c r="G33" i="5" s="1"/>
  <c r="E32" i="5"/>
  <c r="G32" i="5" s="1"/>
  <c r="E31" i="5"/>
  <c r="G31" i="5" s="1"/>
  <c r="E30" i="5"/>
  <c r="G30" i="5" s="1"/>
  <c r="E29" i="5"/>
  <c r="G29" i="5" s="1"/>
  <c r="E28" i="5"/>
  <c r="G28" i="5" s="1"/>
  <c r="E27" i="5"/>
  <c r="G27" i="5" s="1"/>
  <c r="E26" i="5"/>
  <c r="G26" i="5" s="1"/>
  <c r="E25" i="5"/>
  <c r="G25" i="5" s="1"/>
  <c r="E24" i="5"/>
  <c r="G24" i="5" s="1"/>
  <c r="E23" i="5"/>
  <c r="G23" i="5" s="1"/>
  <c r="E22" i="5"/>
  <c r="G22" i="5" s="1"/>
  <c r="E21" i="5"/>
  <c r="G21" i="5" s="1"/>
  <c r="G20" i="5"/>
  <c r="G19" i="5"/>
  <c r="G18" i="5"/>
  <c r="G17" i="5"/>
  <c r="G16" i="5"/>
  <c r="G15" i="5"/>
  <c r="G14" i="5"/>
  <c r="G10" i="5"/>
  <c r="G9" i="5"/>
  <c r="G8" i="5"/>
  <c r="G7" i="5"/>
  <c r="G6" i="5"/>
  <c r="G4" i="5"/>
  <c r="F57" i="5"/>
  <c r="T50" i="3" s="1"/>
  <c r="T51" i="3" s="1"/>
  <c r="A3" i="2"/>
  <c r="K9" i="2"/>
  <c r="J39" i="2"/>
  <c r="I39" i="2"/>
  <c r="H39" i="2"/>
  <c r="G39" i="2"/>
  <c r="F39" i="2"/>
  <c r="E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39" i="2"/>
  <c r="E57" i="5" l="1"/>
  <c r="S50" i="3" s="1"/>
  <c r="S51" i="3" s="1"/>
  <c r="G57" i="5"/>
  <c r="V50" i="3" s="1"/>
  <c r="V51" i="3" s="1"/>
  <c r="M64" i="3" s="1"/>
  <c r="T64" i="3" s="1"/>
  <c r="H64" i="3" l="1"/>
  <c r="D64" i="3"/>
</calcChain>
</file>

<file path=xl/sharedStrings.xml><?xml version="1.0" encoding="utf-8"?>
<sst xmlns="http://schemas.openxmlformats.org/spreadsheetml/2006/main" count="87" uniqueCount="74">
  <si>
    <t>S&amp;I 
Financial
Services</t>
  </si>
  <si>
    <t>S&amp;I Employee Reimbursement Request</t>
  </si>
  <si>
    <t xml:space="preserve">General Information </t>
  </si>
  <si>
    <t>Employee name</t>
  </si>
  <si>
    <t>Employee ID</t>
  </si>
  <si>
    <t>Reimbursement rate</t>
  </si>
  <si>
    <t>Address</t>
  </si>
  <si>
    <t>DeptID for travel</t>
  </si>
  <si>
    <t>Primary assignment name/address</t>
  </si>
  <si>
    <t>(If applicable) Secondary assignment name/address</t>
  </si>
  <si>
    <r>
      <rPr>
        <b/>
        <sz val="8"/>
        <rFont val="Helvetica"/>
      </rPr>
      <t xml:space="preserve">Recurring Travel </t>
    </r>
    <r>
      <rPr>
        <sz val="8"/>
        <rFont val="Helvetica"/>
      </rPr>
      <t xml:space="preserve"> </t>
    </r>
    <r>
      <rPr>
        <b/>
        <sz val="7"/>
        <rFont val="Helvetica"/>
      </rPr>
      <t xml:space="preserve"> </t>
    </r>
    <r>
      <rPr>
        <b/>
        <sz val="8"/>
        <color rgb="FFC00000"/>
        <rFont val="Helvetica"/>
      </rPr>
      <t xml:space="preserve">For a trip that happened regularly (daily, weekly, monthly). </t>
    </r>
    <r>
      <rPr>
        <sz val="7"/>
        <rFont val="Helvetica"/>
      </rPr>
      <t>See the "Completing the Employee Reimbursement Request" help topic.</t>
    </r>
  </si>
  <si>
    <t>Address of starting point</t>
  </si>
  <si>
    <t>Address of destination</t>
  </si>
  <si>
    <t>Purpose</t>
  </si>
  <si>
    <t>Round-trip mi. or km</t>
  </si>
  <si>
    <t>Round-trip fares or tolls</t>
  </si>
  <si>
    <t>Month</t>
  </si>
  <si>
    <t>Check boxes of dates of recurring travel.</t>
  </si>
  <si>
    <t>Recurring travel totals</t>
  </si>
  <si>
    <t>Days traveled</t>
  </si>
  <si>
    <r>
      <rPr>
        <b/>
        <sz val="8"/>
        <rFont val="Helvetica"/>
      </rPr>
      <t xml:space="preserve">Varied Travel </t>
    </r>
    <r>
      <rPr>
        <b/>
        <sz val="7"/>
        <rFont val="Helvetica"/>
        <family val="2"/>
      </rPr>
      <t xml:space="preserve">  </t>
    </r>
    <r>
      <rPr>
        <sz val="7"/>
        <rFont val="Helvetica"/>
      </rPr>
      <t xml:space="preserve"> </t>
    </r>
    <r>
      <rPr>
        <b/>
        <sz val="8"/>
        <color rgb="FFC00000"/>
        <rFont val="Helvetica"/>
      </rPr>
      <t>For one or more individual or infrequent trips.</t>
    </r>
    <r>
      <rPr>
        <sz val="8"/>
        <rFont val="Helvetica"/>
      </rPr>
      <t xml:space="preserve"> </t>
    </r>
    <r>
      <rPr>
        <sz val="7"/>
        <rFont val="Helvetica"/>
      </rPr>
      <t>Complete using the guidelines in the "Transportation Documentation Guidelines" help topic.</t>
    </r>
  </si>
  <si>
    <t>Date</t>
  </si>
  <si>
    <t>Starting point (specific location)</t>
  </si>
  <si>
    <t>Destination (specific location)</t>
  </si>
  <si>
    <t>Mi. or km</t>
  </si>
  <si>
    <t>Fares or tolls</t>
  </si>
  <si>
    <t>Amount</t>
  </si>
  <si>
    <t>Additional varied travel totals</t>
  </si>
  <si>
    <t xml:space="preserve">Varied travel totals </t>
  </si>
  <si>
    <r>
      <rPr>
        <b/>
        <sz val="8"/>
        <rFont val="Helvetica"/>
      </rPr>
      <t>Other Expenses</t>
    </r>
    <r>
      <rPr>
        <b/>
        <sz val="7"/>
        <rFont val="Helvetica"/>
        <family val="2"/>
      </rPr>
      <t xml:space="preserve">   </t>
    </r>
    <r>
      <rPr>
        <sz val="7"/>
        <rFont val="Helvetica"/>
      </rPr>
      <t>List each receipt and the amount to be reimbursed. Attach the receipt.</t>
    </r>
  </si>
  <si>
    <t>#</t>
  </si>
  <si>
    <t>Merchant name</t>
  </si>
  <si>
    <t>Purpose and description of purchase</t>
  </si>
  <si>
    <t>DeptID</t>
  </si>
  <si>
    <t>Enter account code(s) in headings.</t>
  </si>
  <si>
    <t>Total</t>
  </si>
  <si>
    <t>Other expenses total</t>
  </si>
  <si>
    <r>
      <rPr>
        <b/>
        <sz val="8"/>
        <rFont val="Helvetica"/>
      </rPr>
      <t>Year-to-Date mi. or km</t>
    </r>
    <r>
      <rPr>
        <b/>
        <sz val="7"/>
        <rFont val="Helvetica"/>
      </rPr>
      <t xml:space="preserve">   </t>
    </r>
    <r>
      <rPr>
        <sz val="7"/>
        <rFont val="Helvetica"/>
      </rPr>
      <t>(if required)</t>
    </r>
  </si>
  <si>
    <t>Totals</t>
  </si>
  <si>
    <t>From last request</t>
  </si>
  <si>
    <t>On this request</t>
  </si>
  <si>
    <t>To next request</t>
  </si>
  <si>
    <t>Travel total</t>
  </si>
  <si>
    <t>Reimbursement total</t>
  </si>
  <si>
    <t>Payment Authorization Signatures</t>
  </si>
  <si>
    <t>Requester’s signature</t>
  </si>
  <si>
    <t>Supervisor's signature</t>
  </si>
  <si>
    <t>© 2013, 2023 by Intellectual Reserve, Inc. All rights reserved. 4/23. 00500SI 000</t>
  </si>
  <si>
    <t>Reimbursement Request Receipt Detail</t>
  </si>
  <si>
    <t>Name</t>
  </si>
  <si>
    <t>Whenever possible, purchase S&amp;I items on a separate transaction receipt from personal items.</t>
  </si>
  <si>
    <r>
      <rPr>
        <b/>
        <sz val="7"/>
        <rFont val="Helvetica"/>
        <family val="2"/>
      </rPr>
      <t>Detail of Receipts Submitted for Reimbursement</t>
    </r>
    <r>
      <rPr>
        <sz val="7"/>
        <rFont val="Helvetica"/>
        <family val="2"/>
      </rPr>
      <t xml:space="preserve"> List each receipt and the amount to be reimbursed. Write the receipt number on each receipt.</t>
    </r>
  </si>
  <si>
    <t>Rcpt #</t>
  </si>
  <si>
    <t>Merchant Name</t>
  </si>
  <si>
    <t>Purpose and Description of Purchase</t>
  </si>
  <si>
    <t>Enter account descriptions in column headings, and separate amounts by account. Separate tax where necessary.</t>
  </si>
  <si>
    <t>Account totals</t>
  </si>
  <si>
    <t xml:space="preserve"> 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</si>
  <si>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</si>
  <si>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</si>
  <si>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</si>
  <si>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</si>
  <si>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</si>
  <si>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</si>
  <si>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</si>
  <si>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</si>
  <si>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</si>
  <si>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</si>
  <si>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</si>
  <si>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</si>
  <si>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Hillcrest ID Seminary/2801 Owen Street, Ammon ID 83406</t>
  </si>
  <si>
    <t>Jonathan Saunders</t>
  </si>
  <si>
    <t>318977</t>
  </si>
  <si>
    <t>5506 Cory Lane, Ammon ID 83406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</si>
</sst>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yy;@"/>
    <numFmt numFmtId="165" formatCode="#,##0.0"/>
    <numFmt numFmtId="166" formatCode="[$-409]d\-mmm\-yy;@"/>
    <numFmt numFmtId="167" formatCode="0.000"/>
  </numFmts>
  <fonts count="18" x14ac:knownFonts="1">
    <font>
      <sz val="10"/>
      <name val="Arial"/>
    </font>
    <font>
      <sz val="10"/>
      <name val="Arial"/>
      <family val="2"/>
    </font>
    <font>
      <sz val="10"/>
      <name val="Helvetica"/>
      <family val="2"/>
    </font>
    <font>
      <b/>
      <sz val="8"/>
      <name val="Helvetica"/>
      <family val="2"/>
    </font>
    <font>
      <sz val="8"/>
      <name val="Helvetica"/>
      <family val="2"/>
    </font>
    <font>
      <b/>
      <sz val="7"/>
      <name val="Helvetica"/>
      <family val="2"/>
    </font>
    <font>
      <sz val="7"/>
      <name val="Helvetica"/>
      <family val="2"/>
    </font>
    <font>
      <b/>
      <sz val="10"/>
      <name val="Helvetica"/>
      <family val="2"/>
    </font>
    <font>
      <sz val="18"/>
      <name val="Calibri"/>
      <family val="2"/>
      <scheme val="minor"/>
    </font>
    <font>
      <b/>
      <sz val="10"/>
      <name val="Helvetica"/>
    </font>
    <font>
      <sz val="9"/>
      <name val="Helvetica"/>
    </font>
    <font>
      <sz val="10"/>
      <name val="Helvetica"/>
    </font>
    <font>
      <b/>
      <sz val="7"/>
      <name val="Helvetica"/>
    </font>
    <font>
      <sz val="7"/>
      <name val="Helvetica"/>
    </font>
    <font>
      <sz val="8"/>
      <name val="Helvetica"/>
    </font>
    <font>
      <sz val="14"/>
      <name val="Helvetica"/>
    </font>
    <font>
      <b/>
      <sz val="8"/>
      <name val="Helvetica"/>
    </font>
    <font>
      <b/>
      <sz val="8"/>
      <color rgb="FFC00000"/>
      <name val="Helvetic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</cellStyleXfs>
  <cellXfs count="246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2" borderId="0" xfId="0" applyFont="1" applyFill="1"/>
    <xf numFmtId="166" fontId="6" fillId="2" borderId="0" xfId="0" applyNumberFormat="1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vertical="top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4" fontId="4" fillId="0" borderId="2" xfId="1" applyNumberFormat="1" applyFont="1" applyFill="1" applyBorder="1" applyAlignment="1" applyProtection="1">
      <alignment horizontal="right"/>
      <protection locked="0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4" fillId="0" borderId="2" xfId="0" applyFont="1" applyBorder="1" applyAlignment="1" applyProtection="1">
      <alignment vertical="center" wrapText="1"/>
      <protection locked="0"/>
    </xf>
    <xf numFmtId="43" fontId="4" fillId="0" borderId="2" xfId="0" applyNumberFormat="1" applyFont="1" applyBorder="1" applyAlignment="1" applyProtection="1">
      <alignment vertical="center"/>
      <protection locked="0"/>
    </xf>
    <xf numFmtId="39" fontId="4" fillId="0" borderId="5" xfId="0" applyNumberFormat="1" applyFont="1" applyBorder="1" applyAlignment="1">
      <alignment vertical="center"/>
    </xf>
    <xf numFmtId="43" fontId="4" fillId="0" borderId="7" xfId="0" applyNumberFormat="1" applyFont="1" applyBorder="1" applyAlignment="1" applyProtection="1">
      <alignment vertical="center"/>
      <protection locked="0"/>
    </xf>
    <xf numFmtId="39" fontId="4" fillId="0" borderId="2" xfId="0" applyNumberFormat="1" applyFont="1" applyBorder="1" applyAlignment="1">
      <alignment vertical="center"/>
    </xf>
    <xf numFmtId="0" fontId="4" fillId="0" borderId="5" xfId="0" applyFont="1" applyBorder="1" applyAlignment="1" applyProtection="1">
      <alignment horizontal="left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39" fontId="4" fillId="0" borderId="5" xfId="1" applyNumberFormat="1" applyFont="1" applyBorder="1" applyAlignment="1"/>
    <xf numFmtId="39" fontId="4" fillId="0" borderId="5" xfId="1" applyNumberFormat="1" applyFont="1" applyFill="1" applyBorder="1" applyAlignment="1" applyProtection="1"/>
    <xf numFmtId="165" fontId="4" fillId="0" borderId="2" xfId="0" applyNumberFormat="1" applyFont="1" applyBorder="1" applyAlignment="1">
      <alignment horizontal="right" wrapText="1"/>
    </xf>
    <xf numFmtId="4" fontId="4" fillId="0" borderId="2" xfId="0" applyNumberFormat="1" applyFont="1" applyBorder="1" applyAlignment="1">
      <alignment horizontal="right" wrapText="1"/>
    </xf>
    <xf numFmtId="0" fontId="3" fillId="0" borderId="3" xfId="0" applyFont="1" applyBorder="1" applyAlignment="1">
      <alignment vertical="center"/>
    </xf>
    <xf numFmtId="0" fontId="1" fillId="0" borderId="0" xfId="0" quotePrefix="1" applyFont="1"/>
    <xf numFmtId="8" fontId="4" fillId="0" borderId="2" xfId="0" applyNumberFormat="1" applyFont="1" applyBorder="1" applyAlignment="1" applyProtection="1">
      <alignment vertical="center"/>
      <protection locked="0"/>
    </xf>
    <xf numFmtId="165" fontId="4" fillId="0" borderId="2" xfId="1" applyNumberFormat="1" applyFont="1" applyFill="1" applyBorder="1" applyAlignment="1" applyProtection="1">
      <alignment horizontal="right"/>
      <protection locked="0"/>
    </xf>
    <xf numFmtId="167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 applyProtection="1">
      <alignment horizontal="center" wrapText="1"/>
      <protection locked="0"/>
    </xf>
    <xf numFmtId="165" fontId="4" fillId="0" borderId="5" xfId="1" applyNumberFormat="1" applyFont="1" applyFill="1" applyBorder="1" applyAlignment="1" applyProtection="1">
      <alignment horizontal="left" vertical="center"/>
      <protection locked="0"/>
    </xf>
    <xf numFmtId="165" fontId="4" fillId="0" borderId="5" xfId="2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/>
    <xf numFmtId="0" fontId="10" fillId="0" borderId="0" xfId="0" applyFont="1" applyAlignment="1">
      <alignment horizontal="center"/>
    </xf>
    <xf numFmtId="0" fontId="11" fillId="0" borderId="0" xfId="0" applyFont="1"/>
    <xf numFmtId="0" fontId="6" fillId="0" borderId="1" xfId="0" applyFont="1" applyBorder="1" applyAlignment="1">
      <alignment vertical="top"/>
    </xf>
    <xf numFmtId="0" fontId="4" fillId="0" borderId="4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 wrapText="1" indent="1"/>
    </xf>
    <xf numFmtId="0" fontId="4" fillId="0" borderId="0" xfId="0" applyFont="1" applyAlignment="1" applyProtection="1">
      <alignment vertical="center"/>
      <protection locked="0"/>
    </xf>
    <xf numFmtId="0" fontId="13" fillId="0" borderId="22" xfId="4" applyFont="1" applyBorder="1" applyAlignment="1">
      <alignment horizontal="right" vertical="center" wrapText="1"/>
    </xf>
    <xf numFmtId="0" fontId="13" fillId="0" borderId="27" xfId="4" applyFont="1" applyBorder="1" applyAlignment="1">
      <alignment horizontal="right" vertical="center" wrapText="1"/>
    </xf>
    <xf numFmtId="0" fontId="13" fillId="0" borderId="5" xfId="4" applyFont="1" applyBorder="1" applyAlignment="1" applyProtection="1">
      <alignment horizontal="right" wrapText="1"/>
      <protection locked="0"/>
    </xf>
    <xf numFmtId="0" fontId="13" fillId="0" borderId="2" xfId="4" applyFont="1" applyBorder="1" applyAlignment="1" applyProtection="1">
      <alignment horizontal="right" wrapText="1"/>
      <protection locked="0"/>
    </xf>
    <xf numFmtId="165" fontId="14" fillId="2" borderId="12" xfId="0" applyNumberFormat="1" applyFont="1" applyFill="1" applyBorder="1" applyAlignment="1">
      <alignment vertical="center"/>
    </xf>
    <xf numFmtId="4" fontId="14" fillId="2" borderId="13" xfId="0" applyNumberFormat="1" applyFont="1" applyFill="1" applyBorder="1" applyAlignment="1">
      <alignment vertical="center"/>
    </xf>
    <xf numFmtId="4" fontId="14" fillId="2" borderId="0" xfId="0" applyNumberFormat="1" applyFont="1" applyFill="1" applyAlignment="1">
      <alignment vertical="center"/>
    </xf>
    <xf numFmtId="0" fontId="13" fillId="0" borderId="19" xfId="4" applyFont="1" applyBorder="1" applyAlignment="1">
      <alignment horizontal="right" vertical="center" wrapText="1"/>
    </xf>
    <xf numFmtId="0" fontId="13" fillId="0" borderId="21" xfId="4" applyFont="1" applyBorder="1" applyAlignment="1">
      <alignment horizontal="right" vertical="center" wrapText="1"/>
    </xf>
    <xf numFmtId="0" fontId="14" fillId="0" borderId="25" xfId="0" applyFont="1" applyBorder="1" applyAlignment="1" applyProtection="1">
      <alignment horizontal="left" vertical="center" wrapText="1"/>
      <protection locked="0"/>
    </xf>
    <xf numFmtId="0" fontId="13" fillId="0" borderId="5" xfId="4" applyFont="1" applyBorder="1" applyAlignment="1" applyProtection="1">
      <alignment horizontal="left" wrapText="1"/>
      <protection locked="0"/>
    </xf>
    <xf numFmtId="0" fontId="13" fillId="0" borderId="2" xfId="4" applyFont="1" applyBorder="1" applyAlignment="1" applyProtection="1">
      <alignment horizontal="left" wrapText="1"/>
      <protection locked="0"/>
    </xf>
    <xf numFmtId="3" fontId="14" fillId="2" borderId="12" xfId="0" applyNumberFormat="1" applyFont="1" applyFill="1" applyBorder="1" applyAlignment="1">
      <alignment vertical="center"/>
    </xf>
    <xf numFmtId="3" fontId="14" fillId="2" borderId="13" xfId="0" applyNumberFormat="1" applyFont="1" applyFill="1" applyBorder="1" applyAlignment="1">
      <alignment vertical="center"/>
    </xf>
    <xf numFmtId="4" fontId="14" fillId="2" borderId="12" xfId="0" applyNumberFormat="1" applyFont="1" applyFill="1" applyBorder="1" applyAlignment="1">
      <alignment vertical="center"/>
    </xf>
    <xf numFmtId="0" fontId="13" fillId="0" borderId="12" xfId="4" applyFont="1" applyBorder="1" applyAlignment="1" applyProtection="1">
      <alignment horizontal="center" vertical="center" wrapText="1"/>
      <protection locked="0"/>
    </xf>
    <xf numFmtId="0" fontId="13" fillId="0" borderId="16" xfId="4" applyFont="1" applyBorder="1" applyAlignment="1" applyProtection="1">
      <alignment horizontal="center" vertical="center" wrapText="1"/>
      <protection locked="0"/>
    </xf>
    <xf numFmtId="165" fontId="14" fillId="2" borderId="12" xfId="0" applyNumberFormat="1" applyFont="1" applyFill="1" applyBorder="1" applyAlignment="1">
      <alignment horizontal="right"/>
    </xf>
    <xf numFmtId="4" fontId="14" fillId="2" borderId="0" xfId="0" applyNumberFormat="1" applyFont="1" applyFill="1" applyAlignment="1">
      <alignment horizontal="right"/>
    </xf>
    <xf numFmtId="4" fontId="14" fillId="2" borderId="0" xfId="0" applyNumberFormat="1" applyFont="1" applyFill="1"/>
    <xf numFmtId="0" fontId="13" fillId="2" borderId="0" xfId="0" applyFont="1" applyFill="1"/>
    <xf numFmtId="166" fontId="6" fillId="0" borderId="0" xfId="0" applyNumberFormat="1" applyFont="1" applyAlignment="1">
      <alignment vertical="center" wrapText="1"/>
    </xf>
    <xf numFmtId="4" fontId="6" fillId="0" borderId="0" xfId="1" applyNumberFormat="1" applyFont="1" applyFill="1" applyBorder="1" applyAlignment="1" applyProtection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right" vertical="center"/>
    </xf>
    <xf numFmtId="165" fontId="4" fillId="0" borderId="0" xfId="0" applyNumberFormat="1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/>
    </xf>
    <xf numFmtId="0" fontId="6" fillId="2" borderId="0" xfId="0" applyFont="1" applyFill="1" applyAlignment="1">
      <alignment horizontal="right" vertical="top"/>
    </xf>
    <xf numFmtId="0" fontId="6" fillId="0" borderId="0" xfId="0" applyFont="1" applyAlignment="1">
      <alignment horizontal="center" vertical="center" wrapText="1"/>
    </xf>
    <xf numFmtId="0" fontId="13" fillId="0" borderId="15" xfId="0" applyFont="1" applyBorder="1" applyAlignment="1" applyProtection="1">
      <alignment horizontal="left" vertical="center" wrapText="1"/>
      <protection locked="0"/>
    </xf>
    <xf numFmtId="0" fontId="13" fillId="0" borderId="15" xfId="0" applyFont="1" applyBorder="1" applyAlignment="1" applyProtection="1">
      <alignment horizontal="left" wrapText="1"/>
      <protection locked="0"/>
    </xf>
    <xf numFmtId="0" fontId="13" fillId="0" borderId="10" xfId="0" applyFont="1" applyBorder="1" applyAlignment="1" applyProtection="1">
      <alignment horizontal="left" wrapText="1"/>
      <protection locked="0"/>
    </xf>
    <xf numFmtId="165" fontId="14" fillId="0" borderId="15" xfId="0" applyNumberFormat="1" applyFont="1" applyBorder="1" applyAlignment="1">
      <alignment horizontal="right"/>
    </xf>
    <xf numFmtId="4" fontId="14" fillId="0" borderId="11" xfId="0" applyNumberFormat="1" applyFont="1" applyBorder="1" applyAlignment="1">
      <alignment horizontal="right"/>
    </xf>
    <xf numFmtId="0" fontId="10" fillId="2" borderId="0" xfId="0" applyFont="1" applyFill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165" fontId="14" fillId="0" borderId="2" xfId="1" applyNumberFormat="1" applyFont="1" applyFill="1" applyBorder="1" applyAlignment="1" applyProtection="1">
      <alignment horizontal="right" vertical="center"/>
      <protection locked="0"/>
    </xf>
    <xf numFmtId="166" fontId="13" fillId="2" borderId="0" xfId="0" applyNumberFormat="1" applyFont="1" applyFill="1" applyAlignment="1">
      <alignment vertical="center" wrapText="1"/>
    </xf>
    <xf numFmtId="4" fontId="13" fillId="2" borderId="0" xfId="1" applyNumberFormat="1" applyFont="1" applyFill="1" applyBorder="1" applyAlignment="1" applyProtection="1"/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wrapText="1"/>
    </xf>
    <xf numFmtId="0" fontId="13" fillId="2" borderId="0" xfId="4" applyFont="1" applyFill="1" applyAlignment="1">
      <alignment horizontal="left" wrapText="1"/>
    </xf>
    <xf numFmtId="0" fontId="13" fillId="2" borderId="0" xfId="4" applyFont="1" applyFill="1" applyAlignment="1">
      <alignment horizontal="right" vertical="center"/>
    </xf>
    <xf numFmtId="165" fontId="14" fillId="2" borderId="4" xfId="0" applyNumberFormat="1" applyFont="1" applyFill="1" applyBorder="1" applyAlignment="1">
      <alignment horizontal="right" vertical="center" wrapText="1"/>
    </xf>
    <xf numFmtId="4" fontId="14" fillId="2" borderId="4" xfId="0" applyNumberFormat="1" applyFont="1" applyFill="1" applyBorder="1" applyAlignment="1">
      <alignment horizontal="right" vertical="center" wrapText="1"/>
    </xf>
    <xf numFmtId="4" fontId="14" fillId="0" borderId="4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3" fontId="14" fillId="2" borderId="0" xfId="0" applyNumberFormat="1" applyFont="1" applyFill="1" applyAlignment="1">
      <alignment vertical="center"/>
    </xf>
    <xf numFmtId="4" fontId="14" fillId="0" borderId="4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4" fontId="13" fillId="2" borderId="0" xfId="1" applyNumberFormat="1" applyFont="1" applyFill="1" applyBorder="1" applyAlignment="1" applyProtection="1">
      <alignment vertical="center"/>
    </xf>
    <xf numFmtId="0" fontId="13" fillId="2" borderId="0" xfId="4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1" fillId="3" borderId="0" xfId="0" applyFont="1" applyFill="1"/>
    <xf numFmtId="0" fontId="14" fillId="0" borderId="24" xfId="0" applyFont="1" applyBorder="1" applyAlignment="1" applyProtection="1">
      <alignment vertical="center"/>
      <protection locked="0"/>
    </xf>
    <xf numFmtId="165" fontId="14" fillId="2" borderId="2" xfId="0" applyNumberFormat="1" applyFont="1" applyFill="1" applyBorder="1" applyAlignment="1">
      <alignment vertical="center" wrapText="1"/>
    </xf>
    <xf numFmtId="4" fontId="14" fillId="0" borderId="5" xfId="0" applyNumberFormat="1" applyFont="1" applyBorder="1" applyAlignment="1" applyProtection="1">
      <alignment horizontal="right" vertical="center"/>
      <protection locked="0"/>
    </xf>
    <xf numFmtId="165" fontId="14" fillId="0" borderId="0" xfId="1" applyNumberFormat="1" applyFont="1" applyFill="1" applyBorder="1" applyAlignment="1" applyProtection="1">
      <alignment horizontal="left" vertical="center"/>
    </xf>
    <xf numFmtId="165" fontId="14" fillId="0" borderId="0" xfId="2" applyNumberFormat="1" applyFont="1" applyFill="1" applyBorder="1" applyAlignment="1" applyProtection="1">
      <alignment horizontal="left" vertical="center"/>
    </xf>
    <xf numFmtId="0" fontId="14" fillId="0" borderId="0" xfId="0" applyFont="1" applyAlignment="1">
      <alignment horizontal="left" vertical="center"/>
    </xf>
    <xf numFmtId="0" fontId="16" fillId="4" borderId="22" xfId="0" applyFont="1" applyFill="1" applyBorder="1" applyAlignment="1">
      <alignment vertical="center"/>
    </xf>
    <xf numFmtId="0" fontId="16" fillId="4" borderId="17" xfId="0" applyFont="1" applyFill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7" xfId="0" applyFont="1" applyBorder="1" applyAlignment="1" applyProtection="1">
      <alignment horizontal="center"/>
      <protection locked="0"/>
    </xf>
    <xf numFmtId="4" fontId="14" fillId="0" borderId="5" xfId="0" applyNumberFormat="1" applyFont="1" applyBorder="1" applyAlignment="1">
      <alignment horizontal="right" vertical="center"/>
    </xf>
    <xf numFmtId="4" fontId="14" fillId="0" borderId="3" xfId="0" applyNumberFormat="1" applyFont="1" applyBorder="1" applyAlignment="1">
      <alignment horizontal="right" vertical="center"/>
    </xf>
    <xf numFmtId="4" fontId="14" fillId="0" borderId="5" xfId="0" applyNumberFormat="1" applyFont="1" applyBorder="1" applyAlignment="1" applyProtection="1">
      <alignment horizontal="right" vertical="center"/>
      <protection locked="0"/>
    </xf>
    <xf numFmtId="4" fontId="14" fillId="0" borderId="6" xfId="0" applyNumberFormat="1" applyFont="1" applyBorder="1" applyAlignment="1" applyProtection="1">
      <alignment horizontal="right" vertical="center"/>
      <protection locked="0"/>
    </xf>
    <xf numFmtId="164" fontId="14" fillId="0" borderId="3" xfId="0" applyNumberFormat="1" applyFont="1" applyBorder="1" applyAlignment="1" applyProtection="1">
      <alignment horizontal="center" vertical="center"/>
      <protection locked="0"/>
    </xf>
    <xf numFmtId="164" fontId="14" fillId="0" borderId="6" xfId="0" applyNumberFormat="1" applyFont="1" applyBorder="1" applyAlignment="1" applyProtection="1">
      <alignment horizontal="center" vertical="center"/>
      <protection locked="0"/>
    </xf>
    <xf numFmtId="165" fontId="14" fillId="0" borderId="5" xfId="1" applyNumberFormat="1" applyFont="1" applyFill="1" applyBorder="1" applyAlignment="1" applyProtection="1">
      <alignment horizontal="left" vertical="center"/>
      <protection locked="0"/>
    </xf>
    <xf numFmtId="165" fontId="14" fillId="0" borderId="3" xfId="1" applyNumberFormat="1" applyFont="1" applyFill="1" applyBorder="1" applyAlignment="1" applyProtection="1">
      <alignment horizontal="left" vertical="center"/>
      <protection locked="0"/>
    </xf>
    <xf numFmtId="165" fontId="14" fillId="0" borderId="6" xfId="1" applyNumberFormat="1" applyFont="1" applyFill="1" applyBorder="1" applyAlignment="1" applyProtection="1">
      <alignment horizontal="left" vertical="center"/>
      <protection locked="0"/>
    </xf>
    <xf numFmtId="165" fontId="14" fillId="0" borderId="5" xfId="2" applyNumberFormat="1" applyFont="1" applyFill="1" applyBorder="1" applyAlignment="1" applyProtection="1">
      <alignment horizontal="left" vertical="center"/>
      <protection locked="0"/>
    </xf>
    <xf numFmtId="165" fontId="14" fillId="0" borderId="3" xfId="2" applyNumberFormat="1" applyFont="1" applyFill="1" applyBorder="1" applyAlignment="1" applyProtection="1">
      <alignment horizontal="left" vertical="center"/>
      <protection locked="0"/>
    </xf>
    <xf numFmtId="165" fontId="14" fillId="0" borderId="6" xfId="2" applyNumberFormat="1" applyFont="1" applyFill="1" applyBorder="1" applyAlignment="1" applyProtection="1">
      <alignment horizontal="left" vertical="center"/>
      <protection locked="0"/>
    </xf>
    <xf numFmtId="0" fontId="14" fillId="0" borderId="5" xfId="0" applyFont="1" applyBorder="1" applyAlignment="1" applyProtection="1">
      <alignment horizontal="left" vertical="center"/>
      <protection locked="0"/>
    </xf>
    <xf numFmtId="0" fontId="14" fillId="0" borderId="3" xfId="0" applyFont="1" applyBorder="1" applyAlignment="1" applyProtection="1">
      <alignment horizontal="left" vertical="center"/>
      <protection locked="0"/>
    </xf>
    <xf numFmtId="0" fontId="14" fillId="0" borderId="6" xfId="0" applyFont="1" applyBorder="1" applyAlignment="1" applyProtection="1">
      <alignment horizontal="left" vertical="center"/>
      <protection locked="0"/>
    </xf>
    <xf numFmtId="4" fontId="14" fillId="0" borderId="5" xfId="0" applyNumberFormat="1" applyFont="1" applyBorder="1" applyAlignment="1">
      <alignment vertical="center"/>
    </xf>
    <xf numFmtId="4" fontId="14" fillId="0" borderId="6" xfId="0" applyNumberFormat="1" applyFont="1" applyBorder="1" applyAlignment="1">
      <alignment vertical="center"/>
    </xf>
    <xf numFmtId="4" fontId="14" fillId="0" borderId="3" xfId="0" applyNumberFormat="1" applyFont="1" applyBorder="1" applyAlignment="1">
      <alignment vertical="center"/>
    </xf>
    <xf numFmtId="0" fontId="4" fillId="0" borderId="2" xfId="0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3" fillId="2" borderId="8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13" fillId="2" borderId="9" xfId="0" applyFont="1" applyFill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2" fillId="4" borderId="17" xfId="3" applyFont="1" applyFill="1" applyBorder="1" applyAlignment="1">
      <alignment horizontal="left" vertical="center"/>
    </xf>
    <xf numFmtId="0" fontId="12" fillId="4" borderId="17" xfId="0" applyFont="1" applyFill="1" applyBorder="1" applyAlignment="1">
      <alignment horizontal="left" vertical="center"/>
    </xf>
    <xf numFmtId="0" fontId="12" fillId="4" borderId="23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164" fontId="14" fillId="0" borderId="10" xfId="0" applyNumberFormat="1" applyFont="1" applyBorder="1" applyAlignment="1" applyProtection="1">
      <alignment horizontal="center" vertical="center"/>
      <protection locked="0"/>
    </xf>
    <xf numFmtId="164" fontId="14" fillId="0" borderId="4" xfId="0" applyNumberFormat="1" applyFont="1" applyBorder="1" applyAlignment="1" applyProtection="1">
      <alignment horizontal="center" vertical="center"/>
      <protection locked="0"/>
    </xf>
    <xf numFmtId="164" fontId="14" fillId="0" borderId="11" xfId="0" applyNumberFormat="1" applyFont="1" applyBorder="1" applyAlignment="1" applyProtection="1">
      <alignment horizontal="center" vertical="center"/>
      <protection locked="0"/>
    </xf>
    <xf numFmtId="165" fontId="14" fillId="0" borderId="4" xfId="0" applyNumberFormat="1" applyFont="1" applyBorder="1" applyAlignment="1" applyProtection="1">
      <alignment horizontal="center" vertical="center"/>
      <protection locked="0"/>
    </xf>
    <xf numFmtId="165" fontId="14" fillId="0" borderId="11" xfId="0" applyNumberFormat="1" applyFont="1" applyBorder="1" applyAlignment="1" applyProtection="1">
      <alignment horizontal="center" vertical="center"/>
      <protection locked="0"/>
    </xf>
    <xf numFmtId="165" fontId="14" fillId="2" borderId="10" xfId="0" applyNumberFormat="1" applyFont="1" applyFill="1" applyBorder="1" applyAlignment="1">
      <alignment horizontal="center" vertical="center"/>
    </xf>
    <xf numFmtId="165" fontId="14" fillId="2" borderId="4" xfId="0" applyNumberFormat="1" applyFont="1" applyFill="1" applyBorder="1" applyAlignment="1">
      <alignment horizontal="center" vertical="center"/>
    </xf>
    <xf numFmtId="165" fontId="14" fillId="2" borderId="11" xfId="0" applyNumberFormat="1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left" vertical="center"/>
    </xf>
    <xf numFmtId="39" fontId="14" fillId="2" borderId="10" xfId="0" applyNumberFormat="1" applyFont="1" applyFill="1" applyBorder="1" applyAlignment="1">
      <alignment horizontal="center" vertical="center"/>
    </xf>
    <xf numFmtId="39" fontId="14" fillId="2" borderId="4" xfId="0" applyNumberFormat="1" applyFont="1" applyFill="1" applyBorder="1" applyAlignment="1">
      <alignment horizontal="center" vertical="center"/>
    </xf>
    <xf numFmtId="39" fontId="14" fillId="2" borderId="11" xfId="0" applyNumberFormat="1" applyFont="1" applyFill="1" applyBorder="1" applyAlignment="1">
      <alignment horizontal="center" vertical="center"/>
    </xf>
    <xf numFmtId="4" fontId="14" fillId="2" borderId="10" xfId="0" applyNumberFormat="1" applyFont="1" applyFill="1" applyBorder="1" applyAlignment="1">
      <alignment horizontal="center" vertical="center"/>
    </xf>
    <xf numFmtId="4" fontId="14" fillId="2" borderId="4" xfId="0" applyNumberFormat="1" applyFont="1" applyFill="1" applyBorder="1" applyAlignment="1">
      <alignment horizontal="center" vertical="center"/>
    </xf>
    <xf numFmtId="4" fontId="14" fillId="2" borderId="11" xfId="0" applyNumberFormat="1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left"/>
    </xf>
    <xf numFmtId="0" fontId="12" fillId="4" borderId="18" xfId="0" applyFont="1" applyFill="1" applyBorder="1" applyAlignment="1">
      <alignment horizontal="left" vertical="center"/>
    </xf>
    <xf numFmtId="0" fontId="12" fillId="0" borderId="29" xfId="0" applyFont="1" applyBorder="1" applyAlignment="1">
      <alignment horizontal="left" vertical="top"/>
    </xf>
    <xf numFmtId="0" fontId="12" fillId="0" borderId="18" xfId="0" applyFont="1" applyBorder="1" applyAlignment="1">
      <alignment horizontal="left" vertical="top"/>
    </xf>
    <xf numFmtId="0" fontId="14" fillId="0" borderId="4" xfId="0" applyFont="1" applyBorder="1" applyAlignment="1" applyProtection="1">
      <alignment horizontal="left" vertical="center"/>
      <protection locked="0"/>
    </xf>
    <xf numFmtId="0" fontId="14" fillId="0" borderId="11" xfId="0" applyFont="1" applyBorder="1" applyAlignment="1" applyProtection="1">
      <alignment horizontal="left" vertical="center"/>
      <protection locked="0"/>
    </xf>
    <xf numFmtId="49" fontId="14" fillId="0" borderId="10" xfId="0" applyNumberFormat="1" applyFont="1" applyBorder="1" applyAlignment="1" applyProtection="1">
      <alignment horizontal="left" vertical="center" wrapText="1"/>
      <protection locked="0"/>
    </xf>
    <xf numFmtId="49" fontId="14" fillId="0" borderId="4" xfId="0" applyNumberFormat="1" applyFont="1" applyBorder="1" applyAlignment="1" applyProtection="1">
      <alignment horizontal="left" vertical="center" wrapText="1"/>
      <protection locked="0"/>
    </xf>
    <xf numFmtId="0" fontId="14" fillId="0" borderId="30" xfId="0" applyFont="1" applyBorder="1" applyAlignment="1" applyProtection="1">
      <alignment horizontal="left" vertical="center" wrapText="1"/>
      <protection locked="0"/>
    </xf>
    <xf numFmtId="0" fontId="14" fillId="0" borderId="14" xfId="0" applyFont="1" applyBorder="1" applyAlignment="1" applyProtection="1">
      <alignment horizontal="left" vertical="center" wrapText="1"/>
      <protection locked="0"/>
    </xf>
    <xf numFmtId="0" fontId="14" fillId="0" borderId="24" xfId="0" applyFont="1" applyBorder="1" applyAlignment="1" applyProtection="1">
      <alignment horizontal="center" vertical="center"/>
      <protection locked="0"/>
    </xf>
    <xf numFmtId="0" fontId="14" fillId="0" borderId="25" xfId="0" applyFont="1" applyBorder="1" applyAlignment="1" applyProtection="1">
      <alignment horizontal="center" vertical="center"/>
      <protection locked="0"/>
    </xf>
    <xf numFmtId="165" fontId="13" fillId="2" borderId="28" xfId="0" applyNumberFormat="1" applyFont="1" applyFill="1" applyBorder="1" applyAlignment="1">
      <alignment horizontal="center" vertical="center"/>
    </xf>
    <xf numFmtId="165" fontId="13" fillId="2" borderId="18" xfId="0" applyNumberFormat="1" applyFont="1" applyFill="1" applyBorder="1" applyAlignment="1">
      <alignment horizontal="center" vertical="center"/>
    </xf>
    <xf numFmtId="3" fontId="14" fillId="2" borderId="10" xfId="0" applyNumberFormat="1" applyFont="1" applyFill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165" fontId="13" fillId="2" borderId="12" xfId="0" applyNumberFormat="1" applyFont="1" applyFill="1" applyBorder="1" applyAlignment="1">
      <alignment horizontal="center" vertical="top" wrapText="1"/>
    </xf>
    <xf numFmtId="165" fontId="13" fillId="2" borderId="0" xfId="0" applyNumberFormat="1" applyFont="1" applyFill="1" applyAlignment="1">
      <alignment horizontal="center" vertical="top" wrapText="1"/>
    </xf>
    <xf numFmtId="4" fontId="14" fillId="2" borderId="12" xfId="0" applyNumberFormat="1" applyFont="1" applyFill="1" applyBorder="1" applyAlignment="1">
      <alignment horizontal="center" vertical="top"/>
    </xf>
    <xf numFmtId="4" fontId="14" fillId="2" borderId="0" xfId="0" applyNumberFormat="1" applyFont="1" applyFill="1" applyAlignment="1">
      <alignment horizontal="center" vertical="top"/>
    </xf>
    <xf numFmtId="4" fontId="14" fillId="2" borderId="19" xfId="0" applyNumberFormat="1" applyFont="1" applyFill="1" applyBorder="1" applyAlignment="1">
      <alignment horizontal="center" vertical="top"/>
    </xf>
    <xf numFmtId="4" fontId="14" fillId="2" borderId="14" xfId="0" applyNumberFormat="1" applyFont="1" applyFill="1" applyBorder="1" applyAlignment="1">
      <alignment horizontal="center" vertical="top"/>
    </xf>
    <xf numFmtId="0" fontId="14" fillId="0" borderId="22" xfId="0" applyFont="1" applyBorder="1" applyAlignment="1">
      <alignment horizontal="right"/>
    </xf>
    <xf numFmtId="0" fontId="14" fillId="0" borderId="17" xfId="0" applyFont="1" applyBorder="1" applyAlignment="1">
      <alignment horizontal="right"/>
    </xf>
    <xf numFmtId="0" fontId="5" fillId="4" borderId="17" xfId="3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11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/>
      <protection locked="0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 indent="1"/>
    </xf>
    <xf numFmtId="0" fontId="13" fillId="0" borderId="3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4" fillId="0" borderId="0" xfId="0" applyFont="1" applyAlignment="1" applyProtection="1">
      <alignment horizontal="left" vertical="center"/>
      <protection locked="0"/>
    </xf>
    <xf numFmtId="0" fontId="14" fillId="0" borderId="13" xfId="0" applyFont="1" applyBorder="1" applyAlignment="1" applyProtection="1">
      <alignment horizontal="left" vertical="center"/>
      <protection locked="0"/>
    </xf>
    <xf numFmtId="165" fontId="14" fillId="0" borderId="19" xfId="0" applyNumberFormat="1" applyFont="1" applyBorder="1" applyAlignment="1" applyProtection="1">
      <alignment horizontal="center" vertical="center" wrapText="1"/>
      <protection locked="0"/>
    </xf>
    <xf numFmtId="165" fontId="14" fillId="0" borderId="14" xfId="0" applyNumberFormat="1" applyFont="1" applyBorder="1" applyAlignment="1" applyProtection="1">
      <alignment horizontal="center" vertical="center" wrapText="1"/>
      <protection locked="0"/>
    </xf>
    <xf numFmtId="165" fontId="14" fillId="0" borderId="20" xfId="0" applyNumberFormat="1" applyFont="1" applyBorder="1" applyAlignment="1" applyProtection="1">
      <alignment horizontal="center" vertical="center" wrapText="1"/>
      <protection locked="0"/>
    </xf>
    <xf numFmtId="4" fontId="14" fillId="0" borderId="19" xfId="0" applyNumberFormat="1" applyFont="1" applyBorder="1" applyAlignment="1" applyProtection="1">
      <alignment horizontal="center" vertical="center"/>
      <protection locked="0"/>
    </xf>
    <xf numFmtId="4" fontId="14" fillId="0" borderId="14" xfId="0" applyNumberFormat="1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14" fillId="0" borderId="12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6" fillId="0" borderId="9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8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2" borderId="14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4" fillId="0" borderId="4" xfId="0" applyFont="1" applyBorder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4" fillId="0" borderId="5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6" fillId="2" borderId="17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44" fontId="6" fillId="0" borderId="1" xfId="0" applyNumberFormat="1" applyFont="1" applyBorder="1" applyAlignment="1">
      <alignment horizontal="right" vertical="center"/>
    </xf>
    <xf numFmtId="44" fontId="6" fillId="0" borderId="9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 2" xfId="4" xr:uid="{00000000-0005-0000-0000-000003000000}"/>
    <cellStyle name="Normal 3" xfId="3" xr:uid="{00000000-0005-0000-0000-000004000000}"/>
  </cellStyles>
  <dxfs count="5">
    <dxf>
      <font>
        <color rgb="FFFF0000"/>
      </font>
    </dxf>
    <dxf>
      <font>
        <b val="0"/>
        <i val="0"/>
        <color auto="1"/>
      </font>
    </dxf>
    <dxf>
      <fill>
        <patternFill>
          <bgColor theme="9" tint="0.59996337778862885"/>
        </patternFill>
      </fill>
    </dxf>
    <dxf>
      <font>
        <color rgb="FFFF0000"/>
      </font>
    </dxf>
    <dxf>
      <font>
        <b val="0"/>
        <i val="0"/>
        <color auto="1"/>
      </font>
    </dxf>
  </dxfs>
  <tableStyles count="0" defaultTableStyle="TableStyleMedium9" defaultPivotStyle="PivotStyleLight16"/>
  <colors>
    <mruColors>
      <color rgb="FFFFFF99"/>
      <color rgb="FF0000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fmlaLink="D17" lockText="1"/>
</file>

<file path=xl/ctrlProps/ctrlProp2.xml><?xml version="1.0" encoding="utf-8"?>
<formControlPr xmlns="http://schemas.microsoft.com/office/spreadsheetml/2009/9/main" objectType="CheckBox" fmlaLink="E17" lockText="1"/>
</file>

<file path=xl/ctrlProps/ctrlProp3.xml><?xml version="1.0" encoding="utf-8"?>
<formControlPr xmlns="http://schemas.microsoft.com/office/spreadsheetml/2009/9/main" objectType="CheckBox" fmlaLink="F17" lockText="1"/>
</file>

<file path=xl/ctrlProps/ctrlProp4.xml><?xml version="1.0" encoding="utf-8"?>
<formControlPr xmlns="http://schemas.microsoft.com/office/spreadsheetml/2009/9/main" objectType="CheckBox" fmlaLink="G17" lockText="1"/>
</file>

<file path=xl/ctrlProps/ctrlProp5.xml><?xml version="1.0" encoding="utf-8"?>
<formControlPr xmlns="http://schemas.microsoft.com/office/spreadsheetml/2009/9/main" objectType="CheckBox" fmlaLink="H17" lockText="1"/>
</file>

<file path=xl/ctrlProps/ctrlProp6.xml><?xml version="1.0" encoding="utf-8"?>
<formControlPr xmlns="http://schemas.microsoft.com/office/spreadsheetml/2009/9/main" objectType="CheckBox" fmlaLink="I17" lockText="1"/>
</file>

<file path=xl/ctrlProps/ctrlProp7.xml><?xml version="1.0" encoding="utf-8"?>
<formControlPr xmlns="http://schemas.microsoft.com/office/spreadsheetml/2009/9/main" objectType="CheckBox" fmlaLink="D19" lockText="1"/>
</file>

<file path=xl/ctrlProps/ctrlProp8.xml><?xml version="1.0" encoding="utf-8"?>
<formControlPr xmlns="http://schemas.microsoft.com/office/spreadsheetml/2009/9/main" objectType="CheckBox" fmlaLink="E19" lockText="1"/>
</file>

<file path=xl/ctrlProps/ctrlProp9.xml><?xml version="1.0" encoding="utf-8"?>
<formControlPr xmlns="http://schemas.microsoft.com/office/spreadsheetml/2009/9/main" objectType="CheckBox" fmlaLink="F19" lockText="1"/>
</file>

<file path=xl/ctrlProps/ctrlProp10.xml><?xml version="1.0" encoding="utf-8"?>
<formControlPr xmlns="http://schemas.microsoft.com/office/spreadsheetml/2009/9/main" objectType="CheckBox" fmlaLink="G19" lockText="1"/>
</file>

<file path=xl/ctrlProps/ctrlProp11.xml><?xml version="1.0" encoding="utf-8"?>
<formControlPr xmlns="http://schemas.microsoft.com/office/spreadsheetml/2009/9/main" objectType="CheckBox" fmlaLink="H19" lockText="1"/>
</file>

<file path=xl/ctrlProps/ctrlProp12.xml><?xml version="1.0" encoding="utf-8"?>
<formControlPr xmlns="http://schemas.microsoft.com/office/spreadsheetml/2009/9/main" objectType="CheckBox" fmlaLink="I19" lockText="1"/>
</file>

<file path=xl/ctrlProps/ctrlProp13.xml><?xml version="1.0" encoding="utf-8"?>
<formControlPr xmlns="http://schemas.microsoft.com/office/spreadsheetml/2009/9/main" objectType="CheckBox" fmlaLink="D21" lockText="1"/>
</file>

<file path=xl/ctrlProps/ctrlProp14.xml><?xml version="1.0" encoding="utf-8"?>
<formControlPr xmlns="http://schemas.microsoft.com/office/spreadsheetml/2009/9/main" objectType="CheckBox" fmlaLink="E21" lockText="1"/>
</file>

<file path=xl/ctrlProps/ctrlProp15.xml><?xml version="1.0" encoding="utf-8"?>
<formControlPr xmlns="http://schemas.microsoft.com/office/spreadsheetml/2009/9/main" objectType="CheckBox" fmlaLink="F21" lockText="1"/>
</file>

<file path=xl/ctrlProps/ctrlProp16.xml><?xml version="1.0" encoding="utf-8"?>
<formControlPr xmlns="http://schemas.microsoft.com/office/spreadsheetml/2009/9/main" objectType="CheckBox" fmlaLink="G21" lockText="1"/>
</file>

<file path=xl/ctrlProps/ctrlProp17.xml><?xml version="1.0" encoding="utf-8"?>
<formControlPr xmlns="http://schemas.microsoft.com/office/spreadsheetml/2009/9/main" objectType="CheckBox" fmlaLink="H21" lockText="1"/>
</file>

<file path=xl/ctrlProps/ctrlProp18.xml><?xml version="1.0" encoding="utf-8"?>
<formControlPr xmlns="http://schemas.microsoft.com/office/spreadsheetml/2009/9/main" objectType="CheckBox" fmlaLink="I21" lockText="1"/>
</file>

<file path=xl/ctrlProps/ctrlProp19.xml><?xml version="1.0" encoding="utf-8"?>
<formControlPr xmlns="http://schemas.microsoft.com/office/spreadsheetml/2009/9/main" objectType="CheckBox" fmlaLink="D23" lockText="1"/>
</file>

<file path=xl/ctrlProps/ctrlProp20.xml><?xml version="1.0" encoding="utf-8"?>
<formControlPr xmlns="http://schemas.microsoft.com/office/spreadsheetml/2009/9/main" objectType="CheckBox" fmlaLink="E23" lockText="1"/>
</file>

<file path=xl/ctrlProps/ctrlProp21.xml><?xml version="1.0" encoding="utf-8"?>
<formControlPr xmlns="http://schemas.microsoft.com/office/spreadsheetml/2009/9/main" objectType="CheckBox" fmlaLink="F23" lockText="1"/>
</file>

<file path=xl/ctrlProps/ctrlProp22.xml><?xml version="1.0" encoding="utf-8"?>
<formControlPr xmlns="http://schemas.microsoft.com/office/spreadsheetml/2009/9/main" objectType="CheckBox" fmlaLink="G23" lockText="1"/>
</file>

<file path=xl/ctrlProps/ctrlProp23.xml><?xml version="1.0" encoding="utf-8"?>
<formControlPr xmlns="http://schemas.microsoft.com/office/spreadsheetml/2009/9/main" objectType="CheckBox" fmlaLink="H23" lockText="1"/>
</file>

<file path=xl/ctrlProps/ctrlProp24.xml><?xml version="1.0" encoding="utf-8"?>
<formControlPr xmlns="http://schemas.microsoft.com/office/spreadsheetml/2009/9/main" objectType="CheckBox" fmlaLink="I23" lockText="1"/>
</file>

<file path=xl/ctrlProps/ctrlProp25.xml><?xml version="1.0" encoding="utf-8"?>
<formControlPr xmlns="http://schemas.microsoft.com/office/spreadsheetml/2009/9/main" objectType="CheckBox" fmlaLink="D25" lockText="1"/>
</file>

<file path=xl/ctrlProps/ctrlProp26.xml><?xml version="1.0" encoding="utf-8"?>
<formControlPr xmlns="http://schemas.microsoft.com/office/spreadsheetml/2009/9/main" objectType="CheckBox" fmlaLink="E25" lockText="1"/>
</file>

<file path=xl/ctrlProps/ctrlProp27.xml><?xml version="1.0" encoding="utf-8"?>
<formControlPr xmlns="http://schemas.microsoft.com/office/spreadsheetml/2009/9/main" objectType="CheckBox" fmlaLink="F25" lockText="1"/>
</file>

<file path=xl/ctrlProps/ctrlProp28.xml><?xml version="1.0" encoding="utf-8"?>
<formControlPr xmlns="http://schemas.microsoft.com/office/spreadsheetml/2009/9/main" objectType="CheckBox" fmlaLink="G25" lockText="1"/>
</file>

<file path=xl/ctrlProps/ctrlProp29.xml><?xml version="1.0" encoding="utf-8"?>
<formControlPr xmlns="http://schemas.microsoft.com/office/spreadsheetml/2009/9/main" objectType="CheckBox" fmlaLink="H25" lockText="1"/>
</file>

<file path=xl/ctrlProps/ctrlProp30.xml><?xml version="1.0" encoding="utf-8"?>
<formControlPr xmlns="http://schemas.microsoft.com/office/spreadsheetml/2009/9/main" objectType="CheckBox" fmlaLink="I25" lockText="1"/>
</file>

<file path=xl/ctrlProps/ctrlProp31.xml><?xml version="1.0" encoding="utf-8"?>
<formControlPr xmlns="http://schemas.microsoft.com/office/spreadsheetml/2009/9/main" objectType="CheckBox" fmlaLink="D27" lockText="1"/>
</file>

<file path=xl/ctrlProps/ctrlProp32.xml><?xml version="1.0" encoding="utf-8"?>
<formControlPr xmlns="http://schemas.microsoft.com/office/spreadsheetml/2009/9/main" objectType="CheckBox" fmlaLink="E27" lockText="1"/>
</file>

<file path=xl/ctrlProps/ctrlProp33.xml><?xml version="1.0" encoding="utf-8"?>
<formControlPr xmlns="http://schemas.microsoft.com/office/spreadsheetml/2009/9/main" objectType="CheckBox" fmlaLink="F27" lockText="1"/>
</file>

<file path=xl/ctrlProps/ctrlProp34.xml><?xml version="1.0" encoding="utf-8"?>
<formControlPr xmlns="http://schemas.microsoft.com/office/spreadsheetml/2009/9/main" objectType="CheckBox" fmlaLink="G27" lockText="1"/>
</file>

<file path=xl/ctrlProps/ctrlProp35.xml><?xml version="1.0" encoding="utf-8"?>
<formControlPr xmlns="http://schemas.microsoft.com/office/spreadsheetml/2009/9/main" objectType="CheckBox" fmlaLink="H27" lockText="1"/>
</file>

<file path=xl/ctrlProps/ctrlProp36.xml><?xml version="1.0" encoding="utf-8"?>
<formControlPr xmlns="http://schemas.microsoft.com/office/spreadsheetml/2009/9/main" objectType="CheckBox" fmlaLink="I27" lockText="1"/>
</file>

<file path=xl/ctrlProps/ctrlProp37.xml><?xml version="1.0" encoding="utf-8"?>
<formControlPr xmlns="http://schemas.microsoft.com/office/spreadsheetml/2009/9/main" objectType="CheckBox" fmlaLink="J17" lockText="1"/>
</file>

<file path=xl/ctrlProps/ctrlProp38.xml><?xml version="1.0" encoding="utf-8"?>
<formControlPr xmlns="http://schemas.microsoft.com/office/spreadsheetml/2009/9/main" objectType="CheckBox" fmlaLink="K17" lockText="1"/>
</file>

<file path=xl/ctrlProps/ctrlProp39.xml><?xml version="1.0" encoding="utf-8"?>
<formControlPr xmlns="http://schemas.microsoft.com/office/spreadsheetml/2009/9/main" objectType="CheckBox" fmlaLink="L17" lockText="1"/>
</file>

<file path=xl/ctrlProps/ctrlProp40.xml><?xml version="1.0" encoding="utf-8"?>
<formControlPr xmlns="http://schemas.microsoft.com/office/spreadsheetml/2009/9/main" objectType="CheckBox" fmlaLink="M17" lockText="1"/>
</file>

<file path=xl/ctrlProps/ctrlProp41.xml><?xml version="1.0" encoding="utf-8"?>
<formControlPr xmlns="http://schemas.microsoft.com/office/spreadsheetml/2009/9/main" objectType="CheckBox" fmlaLink="N17" lockText="1"/>
</file>

<file path=xl/ctrlProps/ctrlProp42.xml><?xml version="1.0" encoding="utf-8"?>
<formControlPr xmlns="http://schemas.microsoft.com/office/spreadsheetml/2009/9/main" objectType="CheckBox" fmlaLink="O17" lockText="1"/>
</file>

<file path=xl/ctrlProps/ctrlProp43.xml><?xml version="1.0" encoding="utf-8"?>
<formControlPr xmlns="http://schemas.microsoft.com/office/spreadsheetml/2009/9/main" objectType="CheckBox" fmlaLink="J19" lockText="1"/>
</file>

<file path=xl/ctrlProps/ctrlProp44.xml><?xml version="1.0" encoding="utf-8"?>
<formControlPr xmlns="http://schemas.microsoft.com/office/spreadsheetml/2009/9/main" objectType="CheckBox" fmlaLink="K19" lockText="1"/>
</file>

<file path=xl/ctrlProps/ctrlProp45.xml><?xml version="1.0" encoding="utf-8"?>
<formControlPr xmlns="http://schemas.microsoft.com/office/spreadsheetml/2009/9/main" objectType="CheckBox" fmlaLink="L19" lockText="1"/>
</file>

<file path=xl/ctrlProps/ctrlProp46.xml><?xml version="1.0" encoding="utf-8"?>
<formControlPr xmlns="http://schemas.microsoft.com/office/spreadsheetml/2009/9/main" objectType="CheckBox" fmlaLink="M19" lockText="1"/>
</file>

<file path=xl/ctrlProps/ctrlProp47.xml><?xml version="1.0" encoding="utf-8"?>
<formControlPr xmlns="http://schemas.microsoft.com/office/spreadsheetml/2009/9/main" objectType="CheckBox" fmlaLink="N19" lockText="1"/>
</file>

<file path=xl/ctrlProps/ctrlProp48.xml><?xml version="1.0" encoding="utf-8"?>
<formControlPr xmlns="http://schemas.microsoft.com/office/spreadsheetml/2009/9/main" objectType="CheckBox" fmlaLink="O19" lockText="1"/>
</file>

<file path=xl/ctrlProps/ctrlProp49.xml><?xml version="1.0" encoding="utf-8"?>
<formControlPr xmlns="http://schemas.microsoft.com/office/spreadsheetml/2009/9/main" objectType="CheckBox" fmlaLink="J21" lockText="1"/>
</file>

<file path=xl/ctrlProps/ctrlProp50.xml><?xml version="1.0" encoding="utf-8"?>
<formControlPr xmlns="http://schemas.microsoft.com/office/spreadsheetml/2009/9/main" objectType="CheckBox" fmlaLink="K21" lockText="1"/>
</file>

<file path=xl/ctrlProps/ctrlProp51.xml><?xml version="1.0" encoding="utf-8"?>
<formControlPr xmlns="http://schemas.microsoft.com/office/spreadsheetml/2009/9/main" objectType="CheckBox" fmlaLink="L21" lockText="1"/>
</file>

<file path=xl/ctrlProps/ctrlProp52.xml><?xml version="1.0" encoding="utf-8"?>
<formControlPr xmlns="http://schemas.microsoft.com/office/spreadsheetml/2009/9/main" objectType="CheckBox" fmlaLink="M21" lockText="1"/>
</file>

<file path=xl/ctrlProps/ctrlProp53.xml><?xml version="1.0" encoding="utf-8"?>
<formControlPr xmlns="http://schemas.microsoft.com/office/spreadsheetml/2009/9/main" objectType="CheckBox" fmlaLink="N21" lockText="1"/>
</file>

<file path=xl/ctrlProps/ctrlProp54.xml><?xml version="1.0" encoding="utf-8"?>
<formControlPr xmlns="http://schemas.microsoft.com/office/spreadsheetml/2009/9/main" objectType="CheckBox" fmlaLink="O21" lockText="1"/>
</file>

<file path=xl/ctrlProps/ctrlProp55.xml><?xml version="1.0" encoding="utf-8"?>
<formControlPr xmlns="http://schemas.microsoft.com/office/spreadsheetml/2009/9/main" objectType="CheckBox" fmlaLink="J23" lockText="1"/>
</file>

<file path=xl/ctrlProps/ctrlProp56.xml><?xml version="1.0" encoding="utf-8"?>
<formControlPr xmlns="http://schemas.microsoft.com/office/spreadsheetml/2009/9/main" objectType="CheckBox" fmlaLink="K23" lockText="1"/>
</file>

<file path=xl/ctrlProps/ctrlProp57.xml><?xml version="1.0" encoding="utf-8"?>
<formControlPr xmlns="http://schemas.microsoft.com/office/spreadsheetml/2009/9/main" objectType="CheckBox" fmlaLink="L23" lockText="1"/>
</file>

<file path=xl/ctrlProps/ctrlProp58.xml><?xml version="1.0" encoding="utf-8"?>
<formControlPr xmlns="http://schemas.microsoft.com/office/spreadsheetml/2009/9/main" objectType="CheckBox" fmlaLink="M23" lockText="1"/>
</file>

<file path=xl/ctrlProps/ctrlProp59.xml><?xml version="1.0" encoding="utf-8"?>
<formControlPr xmlns="http://schemas.microsoft.com/office/spreadsheetml/2009/9/main" objectType="CheckBox" fmlaLink="N23" lockText="1"/>
</file>

<file path=xl/ctrlProps/ctrlProp60.xml><?xml version="1.0" encoding="utf-8"?>
<formControlPr xmlns="http://schemas.microsoft.com/office/spreadsheetml/2009/9/main" objectType="CheckBox" fmlaLink="O23" lockText="1"/>
</file>

<file path=xl/ctrlProps/ctrlProp61.xml><?xml version="1.0" encoding="utf-8"?>
<formControlPr xmlns="http://schemas.microsoft.com/office/spreadsheetml/2009/9/main" objectType="CheckBox" fmlaLink="J25" lockText="1"/>
</file>

<file path=xl/ctrlProps/ctrlProp62.xml><?xml version="1.0" encoding="utf-8"?>
<formControlPr xmlns="http://schemas.microsoft.com/office/spreadsheetml/2009/9/main" objectType="CheckBox" fmlaLink="K25" lockText="1"/>
</file>

<file path=xl/ctrlProps/ctrlProp63.xml><?xml version="1.0" encoding="utf-8"?>
<formControlPr xmlns="http://schemas.microsoft.com/office/spreadsheetml/2009/9/main" objectType="CheckBox" fmlaLink="L25" lockText="1"/>
</file>

<file path=xl/ctrlProps/ctrlProp64.xml><?xml version="1.0" encoding="utf-8"?>
<formControlPr xmlns="http://schemas.microsoft.com/office/spreadsheetml/2009/9/main" objectType="CheckBox" fmlaLink="M25" lockText="1"/>
</file>

<file path=xl/ctrlProps/ctrlProp65.xml><?xml version="1.0" encoding="utf-8"?>
<formControlPr xmlns="http://schemas.microsoft.com/office/spreadsheetml/2009/9/main" objectType="CheckBox" fmlaLink="N25" lockText="1"/>
</file>

<file path=xl/ctrlProps/ctrlProp66.xml><?xml version="1.0" encoding="utf-8"?>
<formControlPr xmlns="http://schemas.microsoft.com/office/spreadsheetml/2009/9/main" objectType="CheckBox" fmlaLink="O25" lockText="1"/>
</file>

<file path=xl/ctrlProps/ctrlProp67.xml><?xml version="1.0" encoding="utf-8"?>
<formControlPr xmlns="http://schemas.microsoft.com/office/spreadsheetml/2009/9/main" objectType="CheckBox" fmlaLink="J27" lockText="1"/>
</file>

<file path=xl/ctrlProps/ctrlProp68.xml><?xml version="1.0" encoding="utf-8"?>
<formControlPr xmlns="http://schemas.microsoft.com/office/spreadsheetml/2009/9/main" objectType="CheckBox" fmlaLink="K27" lockText="1"/>
</file>

<file path=xl/ctrlProps/ctrlProp69.xml><?xml version="1.0" encoding="utf-8"?>
<formControlPr xmlns="http://schemas.microsoft.com/office/spreadsheetml/2009/9/main" objectType="CheckBox" fmlaLink="L27" lockText="1"/>
</file>

<file path=xl/ctrlProps/ctrlProp70.xml><?xml version="1.0" encoding="utf-8"?>
<formControlPr xmlns="http://schemas.microsoft.com/office/spreadsheetml/2009/9/main" objectType="CheckBox" fmlaLink="M27" lockText="1"/>
</file>

<file path=xl/ctrlProps/ctrlProp71.xml><?xml version="1.0" encoding="utf-8"?>
<formControlPr xmlns="http://schemas.microsoft.com/office/spreadsheetml/2009/9/main" objectType="CheckBox" fmlaLink="N27" lockText="1"/>
</file>

<file path=xl/ctrlProps/ctrlProp72.xml><?xml version="1.0" encoding="utf-8"?>
<formControlPr xmlns="http://schemas.microsoft.com/office/spreadsheetml/2009/9/main" objectType="CheckBox" fmlaLink="O27" lockText="1"/>
</file>

<file path=xl/ctrlProps/ctrlProp73.xml><?xml version="1.0" encoding="utf-8"?>
<formControlPr xmlns="http://schemas.microsoft.com/office/spreadsheetml/2009/9/main" objectType="CheckBox" fmlaLink="P17" lockText="1"/>
</file>

<file path=xl/ctrlProps/ctrlProp74.xml><?xml version="1.0" encoding="utf-8"?>
<formControlPr xmlns="http://schemas.microsoft.com/office/spreadsheetml/2009/9/main" objectType="CheckBox" fmlaLink="Q17" lockText="1"/>
</file>

<file path=xl/ctrlProps/ctrlProp75.xml><?xml version="1.0" encoding="utf-8"?>
<formControlPr xmlns="http://schemas.microsoft.com/office/spreadsheetml/2009/9/main" objectType="CheckBox" fmlaLink="R17" lockText="1"/>
</file>

<file path=xl/ctrlProps/ctrlProp76.xml><?xml version="1.0" encoding="utf-8"?>
<formControlPr xmlns="http://schemas.microsoft.com/office/spreadsheetml/2009/9/main" objectType="CheckBox" fmlaLink="P19" lockText="1"/>
</file>

<file path=xl/ctrlProps/ctrlProp77.xml><?xml version="1.0" encoding="utf-8"?>
<formControlPr xmlns="http://schemas.microsoft.com/office/spreadsheetml/2009/9/main" objectType="CheckBox" fmlaLink="Q19" lockText="1"/>
</file>

<file path=xl/ctrlProps/ctrlProp78.xml><?xml version="1.0" encoding="utf-8"?>
<formControlPr xmlns="http://schemas.microsoft.com/office/spreadsheetml/2009/9/main" objectType="CheckBox" fmlaLink="P21" lockText="1"/>
</file>

<file path=xl/ctrlProps/ctrlProp79.xml><?xml version="1.0" encoding="utf-8"?>
<formControlPr xmlns="http://schemas.microsoft.com/office/spreadsheetml/2009/9/main" objectType="CheckBox" fmlaLink="Q21" lockText="1"/>
</file>

<file path=xl/ctrlProps/ctrlProp80.xml><?xml version="1.0" encoding="utf-8"?>
<formControlPr xmlns="http://schemas.microsoft.com/office/spreadsheetml/2009/9/main" objectType="CheckBox" fmlaLink="R21" lockText="1"/>
</file>

<file path=xl/ctrlProps/ctrlProp81.xml><?xml version="1.0" encoding="utf-8"?>
<formControlPr xmlns="http://schemas.microsoft.com/office/spreadsheetml/2009/9/main" objectType="CheckBox" fmlaLink="P23" lockText="1"/>
</file>

<file path=xl/ctrlProps/ctrlProp82.xml><?xml version="1.0" encoding="utf-8"?>
<formControlPr xmlns="http://schemas.microsoft.com/office/spreadsheetml/2009/9/main" objectType="CheckBox" fmlaLink="Q23" lockText="1"/>
</file>

<file path=xl/ctrlProps/ctrlProp83.xml><?xml version="1.0" encoding="utf-8"?>
<formControlPr xmlns="http://schemas.microsoft.com/office/spreadsheetml/2009/9/main" objectType="CheckBox" fmlaLink="P25" lockText="1"/>
</file>

<file path=xl/ctrlProps/ctrlProp84.xml><?xml version="1.0" encoding="utf-8"?>
<formControlPr xmlns="http://schemas.microsoft.com/office/spreadsheetml/2009/9/main" objectType="CheckBox" fmlaLink="Q25" lockText="1"/>
</file>

<file path=xl/ctrlProps/ctrlProp85.xml><?xml version="1.0" encoding="utf-8"?>
<formControlPr xmlns="http://schemas.microsoft.com/office/spreadsheetml/2009/9/main" objectType="CheckBox" fmlaLink="R25" lockText="1"/>
</file>

<file path=xl/ctrlProps/ctrlProp86.xml><?xml version="1.0" encoding="utf-8"?>
<formControlPr xmlns="http://schemas.microsoft.com/office/spreadsheetml/2009/9/main" objectType="CheckBox" fmlaLink="P27" lockText="1"/>
</file>

<file path=xl/ctrlProps/ctrlProp87.xml><?xml version="1.0" encoding="utf-8"?>
<formControlPr xmlns="http://schemas.microsoft.com/office/spreadsheetml/2009/9/main" objectType="CheckBox" fmlaLink="Q27" lockText="1"/>
</file>

<file path=xl/ctrlProps/ctrlProp88.xml><?xml version="1.0" encoding="utf-8"?>
<formControlPr xmlns="http://schemas.microsoft.com/office/spreadsheetml/2009/9/main" objectType="CheckBox" fmlaLink="C17" lockText="1"/>
</file>

<file path=xl/ctrlProps/ctrlProp89.xml><?xml version="1.0" encoding="utf-8"?>
<formControlPr xmlns="http://schemas.microsoft.com/office/spreadsheetml/2009/9/main" objectType="CheckBox" fmlaLink="C19" lockText="1"/>
</file>

<file path=xl/ctrlProps/ctrlProp90.xml><?xml version="1.0" encoding="utf-8"?>
<formControlPr xmlns="http://schemas.microsoft.com/office/spreadsheetml/2009/9/main" objectType="CheckBox" fmlaLink="C21" lockText="1"/>
</file>

<file path=xl/ctrlProps/ctrlProp91.xml><?xml version="1.0" encoding="utf-8"?>
<formControlPr xmlns="http://schemas.microsoft.com/office/spreadsheetml/2009/9/main" objectType="CheckBox" fmlaLink="C23" lockText="1"/>
</file>

<file path=xl/ctrlProps/ctrlProp92.xml><?xml version="1.0" encoding="utf-8"?>
<formControlPr xmlns="http://schemas.microsoft.com/office/spreadsheetml/2009/9/main" objectType="CheckBox" fmlaLink="C25" lockText="1"/>
</file>

<file path=xl/ctrlProps/ctrlProp93.xml><?xml version="1.0" encoding="utf-8"?>
<formControlPr xmlns="http://schemas.microsoft.com/office/spreadsheetml/2009/9/main" objectType="CheckBox" fmlaLink="C27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</xdr:colOff>
          <xdr:row>14</xdr:row>
          <xdr:rowOff>152400</xdr:rowOff>
        </xdr:from>
        <xdr:to>
          <xdr:col>3</xdr:col>
          <xdr:colOff>298450</xdr:colOff>
          <xdr:row>16</xdr:row>
          <xdr:rowOff>0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</xdr:colOff>
          <xdr:row>14</xdr:row>
          <xdr:rowOff>165100</xdr:rowOff>
        </xdr:from>
        <xdr:to>
          <xdr:col>4</xdr:col>
          <xdr:colOff>298450</xdr:colOff>
          <xdr:row>16</xdr:row>
          <xdr:rowOff>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12700</xdr:colOff>
          <xdr:row>14</xdr:row>
          <xdr:rowOff>165100</xdr:rowOff>
        </xdr:from>
        <xdr:to>
          <xdr:col>5</xdr:col>
          <xdr:colOff>298450</xdr:colOff>
          <xdr:row>16</xdr:row>
          <xdr:rowOff>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14</xdr:row>
          <xdr:rowOff>165100</xdr:rowOff>
        </xdr:from>
        <xdr:to>
          <xdr:col>7</xdr:col>
          <xdr:colOff>0</xdr:colOff>
          <xdr:row>16</xdr:row>
          <xdr:rowOff>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12700</xdr:colOff>
          <xdr:row>14</xdr:row>
          <xdr:rowOff>165100</xdr:rowOff>
        </xdr:from>
        <xdr:to>
          <xdr:col>8</xdr:col>
          <xdr:colOff>0</xdr:colOff>
          <xdr:row>16</xdr:row>
          <xdr:rowOff>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12700</xdr:colOff>
          <xdr:row>14</xdr:row>
          <xdr:rowOff>165100</xdr:rowOff>
        </xdr:from>
        <xdr:to>
          <xdr:col>8</xdr:col>
          <xdr:colOff>298450</xdr:colOff>
          <xdr:row>16</xdr:row>
          <xdr:rowOff>0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</xdr:colOff>
          <xdr:row>16</xdr:row>
          <xdr:rowOff>0</xdr:rowOff>
        </xdr:from>
        <xdr:to>
          <xdr:col>3</xdr:col>
          <xdr:colOff>292100</xdr:colOff>
          <xdr:row>19</xdr:row>
          <xdr:rowOff>12700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</xdr:colOff>
          <xdr:row>16</xdr:row>
          <xdr:rowOff>0</xdr:rowOff>
        </xdr:from>
        <xdr:to>
          <xdr:col>4</xdr:col>
          <xdr:colOff>298450</xdr:colOff>
          <xdr:row>19</xdr:row>
          <xdr:rowOff>12700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12700</xdr:colOff>
          <xdr:row>16</xdr:row>
          <xdr:rowOff>0</xdr:rowOff>
        </xdr:from>
        <xdr:to>
          <xdr:col>5</xdr:col>
          <xdr:colOff>298450</xdr:colOff>
          <xdr:row>19</xdr:row>
          <xdr:rowOff>12700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16</xdr:row>
          <xdr:rowOff>0</xdr:rowOff>
        </xdr:from>
        <xdr:to>
          <xdr:col>7</xdr:col>
          <xdr:colOff>0</xdr:colOff>
          <xdr:row>19</xdr:row>
          <xdr:rowOff>12700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12700</xdr:colOff>
          <xdr:row>16</xdr:row>
          <xdr:rowOff>0</xdr:rowOff>
        </xdr:from>
        <xdr:to>
          <xdr:col>8</xdr:col>
          <xdr:colOff>0</xdr:colOff>
          <xdr:row>19</xdr:row>
          <xdr:rowOff>12700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12700</xdr:colOff>
          <xdr:row>16</xdr:row>
          <xdr:rowOff>0</xdr:rowOff>
        </xdr:from>
        <xdr:to>
          <xdr:col>8</xdr:col>
          <xdr:colOff>298450</xdr:colOff>
          <xdr:row>19</xdr:row>
          <xdr:rowOff>12700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</xdr:colOff>
          <xdr:row>19</xdr:row>
          <xdr:rowOff>12700</xdr:rowOff>
        </xdr:from>
        <xdr:to>
          <xdr:col>3</xdr:col>
          <xdr:colOff>292100</xdr:colOff>
          <xdr:row>20</xdr:row>
          <xdr:rowOff>0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</xdr:colOff>
          <xdr:row>19</xdr:row>
          <xdr:rowOff>12700</xdr:rowOff>
        </xdr:from>
        <xdr:to>
          <xdr:col>4</xdr:col>
          <xdr:colOff>298450</xdr:colOff>
          <xdr:row>20</xdr:row>
          <xdr:rowOff>0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12700</xdr:colOff>
          <xdr:row>19</xdr:row>
          <xdr:rowOff>12700</xdr:rowOff>
        </xdr:from>
        <xdr:to>
          <xdr:col>5</xdr:col>
          <xdr:colOff>298450</xdr:colOff>
          <xdr:row>20</xdr:row>
          <xdr:rowOff>0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19</xdr:row>
          <xdr:rowOff>12700</xdr:rowOff>
        </xdr:from>
        <xdr:to>
          <xdr:col>7</xdr:col>
          <xdr:colOff>0</xdr:colOff>
          <xdr:row>20</xdr:row>
          <xdr:rowOff>0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12700</xdr:colOff>
          <xdr:row>19</xdr:row>
          <xdr:rowOff>12700</xdr:rowOff>
        </xdr:from>
        <xdr:to>
          <xdr:col>8</xdr:col>
          <xdr:colOff>0</xdr:colOff>
          <xdr:row>20</xdr:row>
          <xdr:rowOff>0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12700</xdr:colOff>
          <xdr:row>19</xdr:row>
          <xdr:rowOff>12700</xdr:rowOff>
        </xdr:from>
        <xdr:to>
          <xdr:col>8</xdr:col>
          <xdr:colOff>298450</xdr:colOff>
          <xdr:row>20</xdr:row>
          <xdr:rowOff>0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</xdr:colOff>
          <xdr:row>20</xdr:row>
          <xdr:rowOff>0</xdr:rowOff>
        </xdr:from>
        <xdr:to>
          <xdr:col>3</xdr:col>
          <xdr:colOff>292100</xdr:colOff>
          <xdr:row>22</xdr:row>
          <xdr:rowOff>0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</xdr:colOff>
          <xdr:row>20</xdr:row>
          <xdr:rowOff>0</xdr:rowOff>
        </xdr:from>
        <xdr:to>
          <xdr:col>4</xdr:col>
          <xdr:colOff>298450</xdr:colOff>
          <xdr:row>22</xdr:row>
          <xdr:rowOff>0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12700</xdr:colOff>
          <xdr:row>20</xdr:row>
          <xdr:rowOff>0</xdr:rowOff>
        </xdr:from>
        <xdr:to>
          <xdr:col>5</xdr:col>
          <xdr:colOff>298450</xdr:colOff>
          <xdr:row>22</xdr:row>
          <xdr:rowOff>0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20</xdr:row>
          <xdr:rowOff>0</xdr:rowOff>
        </xdr:from>
        <xdr:to>
          <xdr:col>7</xdr:col>
          <xdr:colOff>0</xdr:colOff>
          <xdr:row>22</xdr:row>
          <xdr:rowOff>0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12700</xdr:colOff>
          <xdr:row>20</xdr:row>
          <xdr:rowOff>0</xdr:rowOff>
        </xdr:from>
        <xdr:to>
          <xdr:col>8</xdr:col>
          <xdr:colOff>0</xdr:colOff>
          <xdr:row>22</xdr:row>
          <xdr:rowOff>0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12700</xdr:colOff>
          <xdr:row>20</xdr:row>
          <xdr:rowOff>0</xdr:rowOff>
        </xdr:from>
        <xdr:to>
          <xdr:col>8</xdr:col>
          <xdr:colOff>298450</xdr:colOff>
          <xdr:row>22</xdr:row>
          <xdr:rowOff>0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</xdr:colOff>
          <xdr:row>22</xdr:row>
          <xdr:rowOff>0</xdr:rowOff>
        </xdr:from>
        <xdr:to>
          <xdr:col>3</xdr:col>
          <xdr:colOff>292100</xdr:colOff>
          <xdr:row>24</xdr:row>
          <xdr:rowOff>0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</xdr:colOff>
          <xdr:row>22</xdr:row>
          <xdr:rowOff>0</xdr:rowOff>
        </xdr:from>
        <xdr:to>
          <xdr:col>4</xdr:col>
          <xdr:colOff>298450</xdr:colOff>
          <xdr:row>24</xdr:row>
          <xdr:rowOff>0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12700</xdr:colOff>
          <xdr:row>22</xdr:row>
          <xdr:rowOff>0</xdr:rowOff>
        </xdr:from>
        <xdr:to>
          <xdr:col>5</xdr:col>
          <xdr:colOff>298450</xdr:colOff>
          <xdr:row>24</xdr:row>
          <xdr:rowOff>0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22</xdr:row>
          <xdr:rowOff>0</xdr:rowOff>
        </xdr:from>
        <xdr:to>
          <xdr:col>7</xdr:col>
          <xdr:colOff>0</xdr:colOff>
          <xdr:row>24</xdr:row>
          <xdr:rowOff>0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12700</xdr:colOff>
          <xdr:row>22</xdr:row>
          <xdr:rowOff>0</xdr:rowOff>
        </xdr:from>
        <xdr:to>
          <xdr:col>8</xdr:col>
          <xdr:colOff>0</xdr:colOff>
          <xdr:row>24</xdr:row>
          <xdr:rowOff>0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12700</xdr:colOff>
          <xdr:row>22</xdr:row>
          <xdr:rowOff>0</xdr:rowOff>
        </xdr:from>
        <xdr:to>
          <xdr:col>8</xdr:col>
          <xdr:colOff>298450</xdr:colOff>
          <xdr:row>24</xdr:row>
          <xdr:rowOff>0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</xdr:colOff>
          <xdr:row>24</xdr:row>
          <xdr:rowOff>0</xdr:rowOff>
        </xdr:from>
        <xdr:to>
          <xdr:col>3</xdr:col>
          <xdr:colOff>292100</xdr:colOff>
          <xdr:row>26</xdr:row>
          <xdr:rowOff>0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</xdr:colOff>
          <xdr:row>24</xdr:row>
          <xdr:rowOff>0</xdr:rowOff>
        </xdr:from>
        <xdr:to>
          <xdr:col>4</xdr:col>
          <xdr:colOff>298450</xdr:colOff>
          <xdr:row>26</xdr:row>
          <xdr:rowOff>0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12700</xdr:colOff>
          <xdr:row>24</xdr:row>
          <xdr:rowOff>0</xdr:rowOff>
        </xdr:from>
        <xdr:to>
          <xdr:col>5</xdr:col>
          <xdr:colOff>298450</xdr:colOff>
          <xdr:row>26</xdr:row>
          <xdr:rowOff>0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24</xdr:row>
          <xdr:rowOff>0</xdr:rowOff>
        </xdr:from>
        <xdr:to>
          <xdr:col>7</xdr:col>
          <xdr:colOff>0</xdr:colOff>
          <xdr:row>26</xdr:row>
          <xdr:rowOff>0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12700</xdr:colOff>
          <xdr:row>24</xdr:row>
          <xdr:rowOff>0</xdr:rowOff>
        </xdr:from>
        <xdr:to>
          <xdr:col>8</xdr:col>
          <xdr:colOff>0</xdr:colOff>
          <xdr:row>26</xdr:row>
          <xdr:rowOff>0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12700</xdr:colOff>
          <xdr:row>24</xdr:row>
          <xdr:rowOff>0</xdr:rowOff>
        </xdr:from>
        <xdr:to>
          <xdr:col>8</xdr:col>
          <xdr:colOff>298450</xdr:colOff>
          <xdr:row>26</xdr:row>
          <xdr:rowOff>0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298450</xdr:colOff>
          <xdr:row>14</xdr:row>
          <xdr:rowOff>165100</xdr:rowOff>
        </xdr:from>
        <xdr:to>
          <xdr:col>9</xdr:col>
          <xdr:colOff>279400</xdr:colOff>
          <xdr:row>16</xdr:row>
          <xdr:rowOff>0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14</xdr:row>
          <xdr:rowOff>165100</xdr:rowOff>
        </xdr:from>
        <xdr:to>
          <xdr:col>10</xdr:col>
          <xdr:colOff>279400</xdr:colOff>
          <xdr:row>16</xdr:row>
          <xdr:rowOff>0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14</xdr:row>
          <xdr:rowOff>165100</xdr:rowOff>
        </xdr:from>
        <xdr:to>
          <xdr:col>11</xdr:col>
          <xdr:colOff>292100</xdr:colOff>
          <xdr:row>16</xdr:row>
          <xdr:rowOff>0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298450</xdr:colOff>
          <xdr:row>14</xdr:row>
          <xdr:rowOff>165100</xdr:rowOff>
        </xdr:from>
        <xdr:to>
          <xdr:col>12</xdr:col>
          <xdr:colOff>279400</xdr:colOff>
          <xdr:row>16</xdr:row>
          <xdr:rowOff>0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298450</xdr:colOff>
          <xdr:row>14</xdr:row>
          <xdr:rowOff>165100</xdr:rowOff>
        </xdr:from>
        <xdr:to>
          <xdr:col>13</xdr:col>
          <xdr:colOff>292100</xdr:colOff>
          <xdr:row>16</xdr:row>
          <xdr:rowOff>0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14</xdr:row>
          <xdr:rowOff>152400</xdr:rowOff>
        </xdr:from>
        <xdr:to>
          <xdr:col>14</xdr:col>
          <xdr:colOff>279400</xdr:colOff>
          <xdr:row>16</xdr:row>
          <xdr:rowOff>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16</xdr:row>
          <xdr:rowOff>0</xdr:rowOff>
        </xdr:from>
        <xdr:to>
          <xdr:col>9</xdr:col>
          <xdr:colOff>298450</xdr:colOff>
          <xdr:row>19</xdr:row>
          <xdr:rowOff>12700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16</xdr:row>
          <xdr:rowOff>0</xdr:rowOff>
        </xdr:from>
        <xdr:to>
          <xdr:col>10</xdr:col>
          <xdr:colOff>298450</xdr:colOff>
          <xdr:row>19</xdr:row>
          <xdr:rowOff>12700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16</xdr:row>
          <xdr:rowOff>0</xdr:rowOff>
        </xdr:from>
        <xdr:to>
          <xdr:col>11</xdr:col>
          <xdr:colOff>292100</xdr:colOff>
          <xdr:row>19</xdr:row>
          <xdr:rowOff>12700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298450</xdr:colOff>
          <xdr:row>16</xdr:row>
          <xdr:rowOff>0</xdr:rowOff>
        </xdr:from>
        <xdr:to>
          <xdr:col>12</xdr:col>
          <xdr:colOff>292100</xdr:colOff>
          <xdr:row>19</xdr:row>
          <xdr:rowOff>12700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298450</xdr:colOff>
          <xdr:row>16</xdr:row>
          <xdr:rowOff>0</xdr:rowOff>
        </xdr:from>
        <xdr:to>
          <xdr:col>13</xdr:col>
          <xdr:colOff>292100</xdr:colOff>
          <xdr:row>19</xdr:row>
          <xdr:rowOff>12700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16</xdr:row>
          <xdr:rowOff>0</xdr:rowOff>
        </xdr:from>
        <xdr:to>
          <xdr:col>14</xdr:col>
          <xdr:colOff>292100</xdr:colOff>
          <xdr:row>19</xdr:row>
          <xdr:rowOff>12700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19</xdr:row>
          <xdr:rowOff>12700</xdr:rowOff>
        </xdr:from>
        <xdr:to>
          <xdr:col>9</xdr:col>
          <xdr:colOff>298450</xdr:colOff>
          <xdr:row>20</xdr:row>
          <xdr:rowOff>0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19</xdr:row>
          <xdr:rowOff>12700</xdr:rowOff>
        </xdr:from>
        <xdr:to>
          <xdr:col>10</xdr:col>
          <xdr:colOff>298450</xdr:colOff>
          <xdr:row>20</xdr:row>
          <xdr:rowOff>0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19</xdr:row>
          <xdr:rowOff>12700</xdr:rowOff>
        </xdr:from>
        <xdr:to>
          <xdr:col>11</xdr:col>
          <xdr:colOff>292100</xdr:colOff>
          <xdr:row>20</xdr:row>
          <xdr:rowOff>0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298450</xdr:colOff>
          <xdr:row>19</xdr:row>
          <xdr:rowOff>12700</xdr:rowOff>
        </xdr:from>
        <xdr:to>
          <xdr:col>12</xdr:col>
          <xdr:colOff>292100</xdr:colOff>
          <xdr:row>20</xdr:row>
          <xdr:rowOff>0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298450</xdr:colOff>
          <xdr:row>19</xdr:row>
          <xdr:rowOff>12700</xdr:rowOff>
        </xdr:from>
        <xdr:to>
          <xdr:col>13</xdr:col>
          <xdr:colOff>292100</xdr:colOff>
          <xdr:row>20</xdr:row>
          <xdr:rowOff>0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19</xdr:row>
          <xdr:rowOff>12700</xdr:rowOff>
        </xdr:from>
        <xdr:to>
          <xdr:col>14</xdr:col>
          <xdr:colOff>292100</xdr:colOff>
          <xdr:row>20</xdr:row>
          <xdr:rowOff>0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20</xdr:row>
          <xdr:rowOff>0</xdr:rowOff>
        </xdr:from>
        <xdr:to>
          <xdr:col>9</xdr:col>
          <xdr:colOff>298450</xdr:colOff>
          <xdr:row>22</xdr:row>
          <xdr:rowOff>0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20</xdr:row>
          <xdr:rowOff>0</xdr:rowOff>
        </xdr:from>
        <xdr:to>
          <xdr:col>10</xdr:col>
          <xdr:colOff>298450</xdr:colOff>
          <xdr:row>22</xdr:row>
          <xdr:rowOff>0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20</xdr:row>
          <xdr:rowOff>0</xdr:rowOff>
        </xdr:from>
        <xdr:to>
          <xdr:col>11</xdr:col>
          <xdr:colOff>292100</xdr:colOff>
          <xdr:row>22</xdr:row>
          <xdr:rowOff>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298450</xdr:colOff>
          <xdr:row>20</xdr:row>
          <xdr:rowOff>0</xdr:rowOff>
        </xdr:from>
        <xdr:to>
          <xdr:col>12</xdr:col>
          <xdr:colOff>292100</xdr:colOff>
          <xdr:row>22</xdr:row>
          <xdr:rowOff>0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298450</xdr:colOff>
          <xdr:row>20</xdr:row>
          <xdr:rowOff>0</xdr:rowOff>
        </xdr:from>
        <xdr:to>
          <xdr:col>13</xdr:col>
          <xdr:colOff>292100</xdr:colOff>
          <xdr:row>22</xdr:row>
          <xdr:rowOff>0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20</xdr:row>
          <xdr:rowOff>0</xdr:rowOff>
        </xdr:from>
        <xdr:to>
          <xdr:col>14</xdr:col>
          <xdr:colOff>292100</xdr:colOff>
          <xdr:row>22</xdr:row>
          <xdr:rowOff>0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22</xdr:row>
          <xdr:rowOff>0</xdr:rowOff>
        </xdr:from>
        <xdr:to>
          <xdr:col>9</xdr:col>
          <xdr:colOff>298450</xdr:colOff>
          <xdr:row>24</xdr:row>
          <xdr:rowOff>0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22</xdr:row>
          <xdr:rowOff>0</xdr:rowOff>
        </xdr:from>
        <xdr:to>
          <xdr:col>10</xdr:col>
          <xdr:colOff>298450</xdr:colOff>
          <xdr:row>24</xdr:row>
          <xdr:rowOff>0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22</xdr:row>
          <xdr:rowOff>0</xdr:rowOff>
        </xdr:from>
        <xdr:to>
          <xdr:col>11</xdr:col>
          <xdr:colOff>292100</xdr:colOff>
          <xdr:row>24</xdr:row>
          <xdr:rowOff>0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298450</xdr:colOff>
          <xdr:row>22</xdr:row>
          <xdr:rowOff>0</xdr:rowOff>
        </xdr:from>
        <xdr:to>
          <xdr:col>12</xdr:col>
          <xdr:colOff>292100</xdr:colOff>
          <xdr:row>24</xdr:row>
          <xdr:rowOff>0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298450</xdr:colOff>
          <xdr:row>22</xdr:row>
          <xdr:rowOff>0</xdr:rowOff>
        </xdr:from>
        <xdr:to>
          <xdr:col>13</xdr:col>
          <xdr:colOff>292100</xdr:colOff>
          <xdr:row>24</xdr:row>
          <xdr:rowOff>0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22</xdr:row>
          <xdr:rowOff>0</xdr:rowOff>
        </xdr:from>
        <xdr:to>
          <xdr:col>14</xdr:col>
          <xdr:colOff>292100</xdr:colOff>
          <xdr:row>24</xdr:row>
          <xdr:rowOff>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24</xdr:row>
          <xdr:rowOff>0</xdr:rowOff>
        </xdr:from>
        <xdr:to>
          <xdr:col>9</xdr:col>
          <xdr:colOff>298450</xdr:colOff>
          <xdr:row>26</xdr:row>
          <xdr:rowOff>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24</xdr:row>
          <xdr:rowOff>0</xdr:rowOff>
        </xdr:from>
        <xdr:to>
          <xdr:col>10</xdr:col>
          <xdr:colOff>298450</xdr:colOff>
          <xdr:row>26</xdr:row>
          <xdr:rowOff>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24</xdr:row>
          <xdr:rowOff>0</xdr:rowOff>
        </xdr:from>
        <xdr:to>
          <xdr:col>11</xdr:col>
          <xdr:colOff>292100</xdr:colOff>
          <xdr:row>26</xdr:row>
          <xdr:rowOff>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298450</xdr:colOff>
          <xdr:row>24</xdr:row>
          <xdr:rowOff>0</xdr:rowOff>
        </xdr:from>
        <xdr:to>
          <xdr:col>12</xdr:col>
          <xdr:colOff>292100</xdr:colOff>
          <xdr:row>26</xdr:row>
          <xdr:rowOff>0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298450</xdr:colOff>
          <xdr:row>24</xdr:row>
          <xdr:rowOff>0</xdr:rowOff>
        </xdr:from>
        <xdr:to>
          <xdr:col>13</xdr:col>
          <xdr:colOff>292100</xdr:colOff>
          <xdr:row>26</xdr:row>
          <xdr:rowOff>0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24</xdr:row>
          <xdr:rowOff>0</xdr:rowOff>
        </xdr:from>
        <xdr:to>
          <xdr:col>14</xdr:col>
          <xdr:colOff>292100</xdr:colOff>
          <xdr:row>26</xdr:row>
          <xdr:rowOff>0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12700</xdr:colOff>
          <xdr:row>14</xdr:row>
          <xdr:rowOff>152400</xdr:rowOff>
        </xdr:from>
        <xdr:to>
          <xdr:col>15</xdr:col>
          <xdr:colOff>292100</xdr:colOff>
          <xdr:row>16</xdr:row>
          <xdr:rowOff>0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14</xdr:row>
          <xdr:rowOff>152400</xdr:rowOff>
        </xdr:from>
        <xdr:to>
          <xdr:col>16</xdr:col>
          <xdr:colOff>292100</xdr:colOff>
          <xdr:row>16</xdr:row>
          <xdr:rowOff>0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298450</xdr:colOff>
          <xdr:row>14</xdr:row>
          <xdr:rowOff>152400</xdr:rowOff>
        </xdr:from>
        <xdr:to>
          <xdr:col>17</xdr:col>
          <xdr:colOff>292100</xdr:colOff>
          <xdr:row>16</xdr:row>
          <xdr:rowOff>0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12700</xdr:colOff>
          <xdr:row>16</xdr:row>
          <xdr:rowOff>0</xdr:rowOff>
        </xdr:from>
        <xdr:to>
          <xdr:col>15</xdr:col>
          <xdr:colOff>298450</xdr:colOff>
          <xdr:row>19</xdr:row>
          <xdr:rowOff>12700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16</xdr:row>
          <xdr:rowOff>0</xdr:rowOff>
        </xdr:from>
        <xdr:to>
          <xdr:col>16</xdr:col>
          <xdr:colOff>292100</xdr:colOff>
          <xdr:row>19</xdr:row>
          <xdr:rowOff>12700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19</xdr:row>
          <xdr:rowOff>12700</xdr:rowOff>
        </xdr:from>
        <xdr:to>
          <xdr:col>15</xdr:col>
          <xdr:colOff>292100</xdr:colOff>
          <xdr:row>20</xdr:row>
          <xdr:rowOff>0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19</xdr:row>
          <xdr:rowOff>12700</xdr:rowOff>
        </xdr:from>
        <xdr:to>
          <xdr:col>16</xdr:col>
          <xdr:colOff>292100</xdr:colOff>
          <xdr:row>20</xdr:row>
          <xdr:rowOff>0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298450</xdr:colOff>
          <xdr:row>19</xdr:row>
          <xdr:rowOff>12700</xdr:rowOff>
        </xdr:from>
        <xdr:to>
          <xdr:col>17</xdr:col>
          <xdr:colOff>292100</xdr:colOff>
          <xdr:row>20</xdr:row>
          <xdr:rowOff>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20</xdr:row>
          <xdr:rowOff>0</xdr:rowOff>
        </xdr:from>
        <xdr:to>
          <xdr:col>15</xdr:col>
          <xdr:colOff>292100</xdr:colOff>
          <xdr:row>22</xdr:row>
          <xdr:rowOff>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20</xdr:row>
          <xdr:rowOff>0</xdr:rowOff>
        </xdr:from>
        <xdr:to>
          <xdr:col>16</xdr:col>
          <xdr:colOff>292100</xdr:colOff>
          <xdr:row>22</xdr:row>
          <xdr:rowOff>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22</xdr:row>
          <xdr:rowOff>0</xdr:rowOff>
        </xdr:from>
        <xdr:to>
          <xdr:col>15</xdr:col>
          <xdr:colOff>292100</xdr:colOff>
          <xdr:row>24</xdr:row>
          <xdr:rowOff>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22</xdr:row>
          <xdr:rowOff>0</xdr:rowOff>
        </xdr:from>
        <xdr:to>
          <xdr:col>16</xdr:col>
          <xdr:colOff>292100</xdr:colOff>
          <xdr:row>24</xdr:row>
          <xdr:rowOff>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298450</xdr:colOff>
          <xdr:row>22</xdr:row>
          <xdr:rowOff>0</xdr:rowOff>
        </xdr:from>
        <xdr:to>
          <xdr:col>17</xdr:col>
          <xdr:colOff>292100</xdr:colOff>
          <xdr:row>24</xdr:row>
          <xdr:rowOff>0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24</xdr:row>
          <xdr:rowOff>0</xdr:rowOff>
        </xdr:from>
        <xdr:to>
          <xdr:col>15</xdr:col>
          <xdr:colOff>292100</xdr:colOff>
          <xdr:row>26</xdr:row>
          <xdr:rowOff>0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24</xdr:row>
          <xdr:rowOff>0</xdr:rowOff>
        </xdr:from>
        <xdr:to>
          <xdr:col>16</xdr:col>
          <xdr:colOff>292100</xdr:colOff>
          <xdr:row>26</xdr:row>
          <xdr:rowOff>0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685800</xdr:colOff>
          <xdr:row>14</xdr:row>
          <xdr:rowOff>152400</xdr:rowOff>
        </xdr:from>
        <xdr:to>
          <xdr:col>2</xdr:col>
          <xdr:colOff>292100</xdr:colOff>
          <xdr:row>16</xdr:row>
          <xdr:rowOff>0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0000000-0008-0000-0000-00001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685800</xdr:colOff>
          <xdr:row>16</xdr:row>
          <xdr:rowOff>0</xdr:rowOff>
        </xdr:from>
        <xdr:to>
          <xdr:col>2</xdr:col>
          <xdr:colOff>292100</xdr:colOff>
          <xdr:row>19</xdr:row>
          <xdr:rowOff>12700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0000000-0008-0000-0000-00001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685800</xdr:colOff>
          <xdr:row>18</xdr:row>
          <xdr:rowOff>0</xdr:rowOff>
        </xdr:from>
        <xdr:to>
          <xdr:col>2</xdr:col>
          <xdr:colOff>292100</xdr:colOff>
          <xdr:row>21</xdr:row>
          <xdr:rowOff>12700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0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685800</xdr:colOff>
          <xdr:row>20</xdr:row>
          <xdr:rowOff>0</xdr:rowOff>
        </xdr:from>
        <xdr:to>
          <xdr:col>2</xdr:col>
          <xdr:colOff>292100</xdr:colOff>
          <xdr:row>22</xdr:row>
          <xdr:rowOff>0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0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685800</xdr:colOff>
          <xdr:row>22</xdr:row>
          <xdr:rowOff>0</xdr:rowOff>
        </xdr:from>
        <xdr:to>
          <xdr:col>2</xdr:col>
          <xdr:colOff>292100</xdr:colOff>
          <xdr:row>24</xdr:row>
          <xdr:rowOff>0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0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685800</xdr:colOff>
          <xdr:row>24</xdr:row>
          <xdr:rowOff>0</xdr:rowOff>
        </xdr:from>
        <xdr:to>
          <xdr:col>2</xdr:col>
          <xdr:colOff>292100</xdr:colOff>
          <xdr:row>26</xdr:row>
          <xdr:rowOff>0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0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265100</xdr:colOff>
      <xdr:row>66</xdr:row>
      <xdr:rowOff>40168</xdr:rowOff>
    </xdr:from>
    <xdr:to>
      <xdr:col>5</xdr:col>
      <xdr:colOff>190906</xdr:colOff>
      <xdr:row>68</xdr:row>
      <xdr:rowOff>9515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062F8A2-89A6-72AD-4C7B-50BC7D664BE9}"/>
                </a:ext>
              </a:extLst>
            </xdr14:cNvPr>
            <xdr14:cNvContentPartPr/>
          </xdr14:nvContentPartPr>
          <xdr14:nvPr macro=""/>
          <xdr14:xfrm>
            <a:off x="1344600" y="9537954"/>
            <a:ext cx="524520" cy="2732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062F8A2-89A6-72AD-4C7B-50BC7D664B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0280" y="9533634"/>
              <a:ext cx="533160" cy="281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8T20:57:10.935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276 4 24575,'0'0'0,"0"0"0,9 21 0,118 172 0,-86-137 0,-3 2 0,51 105 0,-85-155 0,0 1 0,-1 0 0,-1 0 0,1 0 0,-1 0 0,-1 0 0,0 0 0,1 14 0,-3-18 0,1 0 0,-1 0 0,0 0 0,0 0 0,-1-1 0,0 1 0,1 0 0,-2-1 0,1 1 0,0-1 0,-1 1 0,0-1 0,0 0 0,0 0 0,0-1 0,-1 1 0,-4 3 0,-4 2 0,0 0 0,-1-1 0,-1 0 0,1-1 0,-1 0 0,-1-1 0,1-1 0,-1-1 0,0 0 0,-20 3 0,-8-1 0,0-2 0,-61-2 0,91-2 0,-73-4 0,76 3 0,0-1 0,1 0 0,-1 0 0,1 0 0,0-1 0,-14-7 0,22 9 0,0 1 0,0-1 0,0 1 0,0-1 0,0 0 0,0 0 0,0 0 0,0 0 0,0 0 0,0 0 0,0 0 0,1 0 0,-1 0 0,0 0 0,1 0 0,-1 0 0,1-1 0,-1 1 0,1 0 0,0 0 0,-1 0 0,1-1 0,0 1 0,0 0 0,0-1 0,0 1 0,0 0 0,0 0 0,0-1 0,1 1 0,-1-2 0,2-2 0,0 0 0,0 0 0,0 0 0,1 1 0,0-1 0,5-7 0,6-5 0,0 0 0,1 1 0,1 1 0,25-19 0,80-48 0,-110 75 0,167-100 0,5 8 0,390-150 0,-540 238 0,-21 10 0,-21 12 0,-43 28 0,-109 62 0,88-57 0,-50 31 0,114-66 0,13-4 0,23-5 0,-21 0 0,62-2 0,-5-2 0,-1 4 0,101 11 0,-154-10 0,0 1 0,0 0 0,-1 0 0,1 1 0,-1 0 0,1 1 0,-1 0 0,0 0 0,8 7 0,-13-9 0,0 1 0,0-1 0,-1 1 0,1 0 0,-1 0 0,1 0 0,-1 0 0,0 0 0,0 1 0,-1-1 0,1 0 0,-1 1 0,1 0 0,-1-1 0,0 1 0,-1 0 0,1 0 0,-1-1 0,1 1 0,-1 0 0,0 0 0,-1 0 0,0 6 0,-2 2 0,0 1 0,-1-1 0,0-1 0,-1 1 0,-1-1 0,0 1 0,0-1 0,-1-1 0,0 0 0,-1 0 0,0 0 0,-12 10 0,1-2 0,-1 0 0,-1-2 0,0-1 0,-45 25 0,52-33 0,0 0 0,0-1 0,0-1 0,-1 0 0,-17 3 0,30-8 0,0 0 0,-1 1 0,1-1 0,-1 0 0,1 0 0,-1 0 0,1-1 0,-1 1 0,-2-1 0,4 0 0,1 1 0,-1 0 0,1-1 0,-1 1 0,1 0 0,-1-1 0,1 1 0,-1-1 0,1 1 0,-1-1 0,1 0 0,0 1 0,-1-1 0,1 1 0,0-1 0,-1 0 0,1 1 0,0-1 0,0 0 0,0 1 0,-1-1 0,1 0 0,0 1 0,0-1 0,0 0 0,0 1 0,0-1 0,1 0 0,-1 1 0,0-1 0,0 0 0,0 1 0,0-1 0,1 0 0,-1 1 0,0-1 0,1 1 0,-1-1 0,0 0 0,1 0 0,4-7 0,0 1 0,0 0 0,0-1 0,1 2 0,10-11 0,45-37-417,128-89 0,-168 128-114,165-113-6295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93" Type="http://schemas.openxmlformats.org/officeDocument/2006/relationships/ctrlProp" Target="../ctrlProps/ctrlProp90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theme="6"/>
    <pageSetUpPr fitToPage="1"/>
  </sheetPr>
  <dimension ref="A1:AA71"/>
  <sheetViews>
    <sheetView showGridLines="0" showZeros="0" tabSelected="1" topLeftCell="A56" zoomScale="140" zoomScaleNormal="140" zoomScalePageLayoutView="55" workbookViewId="0">
      <selection activeCell="A31" sqref="A31:G39"/>
    </sheetView>
  </sheetViews>
  <sheetFormatPr defaultColWidth="0" defaultRowHeight="12.5" zeroHeight="1" x14ac:dyDescent="0.25"/>
  <cols>
    <col min="1" max="1" width="1.90625" style="2" customWidth="1"/>
    <col min="2" max="2" width="9.54296875" style="2" customWidth="1"/>
    <col min="3" max="4" width="4" style="2" customWidth="1"/>
    <col min="5" max="5" width="4.54296875" style="2" bestFit="1" customWidth="1"/>
    <col min="6" max="6" width="4" style="2" customWidth="1"/>
    <col min="7" max="7" width="4.54296875" style="2" customWidth="1"/>
    <col min="8" max="13" width="4" style="2" customWidth="1"/>
    <col min="14" max="14" width="4.54296875" style="2" bestFit="1" customWidth="1"/>
    <col min="15" max="16" width="4" style="2" customWidth="1"/>
    <col min="17" max="18" width="4.36328125" style="2" customWidth="1"/>
    <col min="19" max="19" width="8.6328125" style="2" customWidth="1"/>
    <col min="20" max="21" width="4.36328125" style="2" customWidth="1"/>
    <col min="22" max="23" width="4" style="2" customWidth="1"/>
    <col min="24" max="24" width="1" style="35" customWidth="1"/>
    <col min="25" max="27" width="0" style="2" hidden="1" customWidth="1"/>
    <col min="28" max="16384" width="9" style="2" hidden="1"/>
  </cols>
  <sheetData>
    <row r="1" spans="1:26" s="37" customFormat="1" ht="17.75" customHeight="1" thickBot="1" x14ac:dyDescent="0.35">
      <c r="A1" s="207" t="s">
        <v>0</v>
      </c>
      <c r="B1" s="207"/>
      <c r="C1" s="207"/>
      <c r="D1" s="207"/>
      <c r="E1" s="174" t="s">
        <v>1</v>
      </c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36"/>
      <c r="Y1" s="36"/>
    </row>
    <row r="2" spans="1:26" s="37" customFormat="1" ht="12.75" customHeight="1" thickBot="1" x14ac:dyDescent="0.3">
      <c r="A2" s="207"/>
      <c r="B2" s="207"/>
      <c r="C2" s="207"/>
      <c r="D2" s="207"/>
      <c r="E2" s="152" t="s">
        <v>2</v>
      </c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75"/>
      <c r="U2" s="175"/>
      <c r="V2" s="175"/>
      <c r="W2" s="175"/>
      <c r="X2" s="36"/>
      <c r="Y2" s="36"/>
    </row>
    <row r="3" spans="1:26" s="37" customFormat="1" ht="10.5" customHeight="1" x14ac:dyDescent="0.25">
      <c r="A3" s="207"/>
      <c r="B3" s="207"/>
      <c r="C3" s="207"/>
      <c r="D3" s="207"/>
      <c r="E3" s="146" t="s">
        <v>3</v>
      </c>
      <c r="F3" s="146"/>
      <c r="G3" s="146"/>
      <c r="H3" s="146"/>
      <c r="I3" s="146"/>
      <c r="J3" s="146"/>
      <c r="K3" s="146"/>
      <c r="L3" s="146"/>
      <c r="M3" s="146"/>
      <c r="N3" s="150"/>
      <c r="O3" s="145" t="s">
        <v>4</v>
      </c>
      <c r="P3" s="146"/>
      <c r="Q3" s="146"/>
      <c r="R3" s="146"/>
      <c r="S3" s="146"/>
      <c r="T3" s="176" t="s">
        <v>5</v>
      </c>
      <c r="U3" s="177"/>
      <c r="V3" s="177"/>
      <c r="W3" s="177"/>
    </row>
    <row r="4" spans="1:26" s="37" customFormat="1" ht="13.5" customHeight="1" thickBot="1" x14ac:dyDescent="0.3">
      <c r="A4" s="207"/>
      <c r="B4" s="207"/>
      <c r="C4" s="207"/>
      <c r="D4" s="207"/>
      <c r="E4" s="178" t="s">
        <v>71</v>
      </c>
      <c r="F4" s="178"/>
      <c r="G4" s="178"/>
      <c r="H4" s="178"/>
      <c r="I4" s="178"/>
      <c r="J4" s="178"/>
      <c r="K4" s="178"/>
      <c r="L4" s="178"/>
      <c r="M4" s="178"/>
      <c r="N4" s="179"/>
      <c r="O4" s="180" t="s">
        <v>72</v>
      </c>
      <c r="P4" s="181"/>
      <c r="Q4" s="181"/>
      <c r="R4" s="181"/>
      <c r="S4" s="181"/>
      <c r="T4" s="182">
        <v>0.7</v>
      </c>
      <c r="U4" s="183"/>
      <c r="V4" s="183"/>
      <c r="W4" s="183"/>
    </row>
    <row r="5" spans="1:26" s="37" customFormat="1" ht="10.5" customHeight="1" x14ac:dyDescent="0.25">
      <c r="A5" s="207"/>
      <c r="B5" s="207"/>
      <c r="C5" s="207"/>
      <c r="D5" s="207"/>
      <c r="E5" s="146" t="s">
        <v>6</v>
      </c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50"/>
      <c r="T5" s="224" t="s">
        <v>7</v>
      </c>
      <c r="U5" s="225"/>
      <c r="V5" s="225"/>
      <c r="W5" s="225"/>
      <c r="X5" s="36"/>
      <c r="Y5" s="36"/>
    </row>
    <row r="6" spans="1:26" s="37" customFormat="1" ht="13.5" customHeight="1" x14ac:dyDescent="0.25">
      <c r="A6" s="207"/>
      <c r="B6" s="207"/>
      <c r="C6" s="207"/>
      <c r="D6" s="207"/>
      <c r="E6" s="178" t="s">
        <v>73</v>
      </c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9"/>
      <c r="T6" s="226">
        <v>3204000</v>
      </c>
      <c r="U6" s="202"/>
      <c r="V6" s="202"/>
      <c r="W6" s="202"/>
      <c r="Y6" s="36"/>
    </row>
    <row r="7" spans="1:26" s="37" customFormat="1" ht="10.5" customHeight="1" x14ac:dyDescent="0.25">
      <c r="A7" s="207"/>
      <c r="B7" s="207"/>
      <c r="C7" s="207"/>
      <c r="D7" s="207"/>
      <c r="E7" s="199" t="s">
        <v>8</v>
      </c>
      <c r="F7" s="199"/>
      <c r="G7" s="199"/>
      <c r="H7" s="199"/>
      <c r="I7" s="199"/>
      <c r="J7" s="199"/>
      <c r="K7" s="199"/>
      <c r="L7" s="199"/>
      <c r="M7" s="199"/>
      <c r="N7" s="200"/>
      <c r="O7" s="201" t="s">
        <v>9</v>
      </c>
      <c r="P7" s="199"/>
      <c r="Q7" s="199"/>
      <c r="R7" s="199"/>
      <c r="S7" s="199"/>
      <c r="T7" s="199"/>
      <c r="U7" s="199"/>
      <c r="V7" s="199"/>
      <c r="W7" s="199"/>
      <c r="Y7" s="38"/>
      <c r="Z7" s="38"/>
    </row>
    <row r="8" spans="1:26" s="37" customFormat="1" ht="13.5" customHeight="1" x14ac:dyDescent="0.25">
      <c r="A8" s="207"/>
      <c r="B8" s="207"/>
      <c r="C8" s="207"/>
      <c r="D8" s="207"/>
      <c r="E8" s="202" t="s">
        <v>70</v>
      </c>
      <c r="F8" s="202"/>
      <c r="G8" s="202"/>
      <c r="H8" s="202"/>
      <c r="I8" s="202"/>
      <c r="J8" s="202"/>
      <c r="K8" s="202"/>
      <c r="L8" s="202"/>
      <c r="M8" s="202"/>
      <c r="N8" s="203"/>
      <c r="O8" s="204"/>
      <c r="P8" s="178"/>
      <c r="Q8" s="178"/>
      <c r="R8" s="178"/>
      <c r="S8" s="178"/>
      <c r="T8" s="178"/>
      <c r="U8" s="178"/>
      <c r="V8" s="178"/>
      <c r="W8" s="178"/>
      <c r="Y8" s="39"/>
      <c r="Z8" s="39"/>
    </row>
    <row r="9" spans="1:26" s="37" customFormat="1" ht="5.75" customHeight="1" thickBot="1" x14ac:dyDescent="0.3">
      <c r="B9" s="40"/>
      <c r="C9" s="40"/>
      <c r="D9" s="40"/>
      <c r="E9" s="99"/>
      <c r="F9" s="99"/>
      <c r="G9" s="99"/>
      <c r="H9" s="99"/>
      <c r="I9" s="99"/>
      <c r="J9" s="99"/>
      <c r="K9" s="99"/>
      <c r="L9" s="99"/>
      <c r="M9" s="99"/>
      <c r="N9" s="99"/>
      <c r="O9" s="100"/>
      <c r="P9" s="100"/>
      <c r="Q9" s="100"/>
      <c r="R9" s="100"/>
      <c r="S9" s="100"/>
      <c r="T9" s="100"/>
      <c r="U9" s="100"/>
      <c r="V9" s="100"/>
      <c r="W9" s="100"/>
      <c r="Y9" s="41"/>
      <c r="Z9" s="41"/>
    </row>
    <row r="10" spans="1:26" s="101" customFormat="1" x14ac:dyDescent="0.25">
      <c r="A10" s="152" t="s">
        <v>10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37"/>
    </row>
    <row r="11" spans="1:26" s="37" customFormat="1" ht="10.5" customHeight="1" x14ac:dyDescent="0.25">
      <c r="A11" s="146" t="s">
        <v>11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50"/>
      <c r="M11" s="145" t="s">
        <v>12</v>
      </c>
      <c r="N11" s="146"/>
      <c r="O11" s="146"/>
      <c r="P11" s="146"/>
      <c r="Q11" s="146"/>
      <c r="R11" s="146"/>
      <c r="S11" s="146"/>
      <c r="T11" s="146"/>
      <c r="U11" s="146"/>
      <c r="V11" s="146"/>
      <c r="W11" s="146"/>
    </row>
    <row r="12" spans="1:26" s="37" customFormat="1" ht="13.25" customHeight="1" x14ac:dyDescent="0.25">
      <c r="A12" s="217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8"/>
      <c r="M12" s="227"/>
      <c r="N12" s="228"/>
      <c r="O12" s="228"/>
      <c r="P12" s="228"/>
      <c r="Q12" s="202"/>
      <c r="R12" s="202"/>
      <c r="S12" s="202"/>
      <c r="T12" s="202"/>
      <c r="U12" s="202"/>
      <c r="V12" s="202"/>
      <c r="W12" s="202"/>
    </row>
    <row r="13" spans="1:26" s="37" customFormat="1" ht="10.5" customHeight="1" x14ac:dyDescent="0.25">
      <c r="A13" s="215" t="s">
        <v>13</v>
      </c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6"/>
      <c r="Q13" s="214" t="s">
        <v>14</v>
      </c>
      <c r="R13" s="215"/>
      <c r="S13" s="216"/>
      <c r="T13" s="145" t="s">
        <v>15</v>
      </c>
      <c r="U13" s="146"/>
      <c r="V13" s="146"/>
      <c r="W13" s="146"/>
    </row>
    <row r="14" spans="1:26" s="37" customFormat="1" ht="13.25" customHeight="1" thickBot="1" x14ac:dyDescent="0.3">
      <c r="A14" s="217"/>
      <c r="B14" s="217"/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8"/>
      <c r="Q14" s="219"/>
      <c r="R14" s="220"/>
      <c r="S14" s="221"/>
      <c r="T14" s="222"/>
      <c r="U14" s="223"/>
      <c r="V14" s="223"/>
      <c r="W14" s="223"/>
    </row>
    <row r="15" spans="1:26" s="37" customFormat="1" ht="12.75" customHeight="1" thickBot="1" x14ac:dyDescent="0.3">
      <c r="A15" s="210" t="s">
        <v>16</v>
      </c>
      <c r="B15" s="211"/>
      <c r="C15" s="209" t="s">
        <v>17</v>
      </c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1"/>
      <c r="S15" s="212" t="s">
        <v>18</v>
      </c>
      <c r="T15" s="213"/>
      <c r="U15" s="213"/>
      <c r="V15" s="213"/>
      <c r="W15" s="213"/>
    </row>
    <row r="16" spans="1:26" s="37" customFormat="1" ht="14.25" customHeight="1" thickBot="1" x14ac:dyDescent="0.3">
      <c r="A16" s="184"/>
      <c r="B16" s="185"/>
      <c r="C16" s="42">
        <v>1</v>
      </c>
      <c r="D16" s="43">
        <v>2</v>
      </c>
      <c r="E16" s="43">
        <v>3</v>
      </c>
      <c r="F16" s="43">
        <v>4</v>
      </c>
      <c r="G16" s="43">
        <v>5</v>
      </c>
      <c r="H16" s="43">
        <v>6</v>
      </c>
      <c r="I16" s="43">
        <v>7</v>
      </c>
      <c r="J16" s="43">
        <v>8</v>
      </c>
      <c r="K16" s="43">
        <v>9</v>
      </c>
      <c r="L16" s="43">
        <v>10</v>
      </c>
      <c r="M16" s="43">
        <v>11</v>
      </c>
      <c r="N16" s="43">
        <v>12</v>
      </c>
      <c r="O16" s="43">
        <v>13</v>
      </c>
      <c r="P16" s="43">
        <v>14</v>
      </c>
      <c r="Q16" s="43">
        <v>15</v>
      </c>
      <c r="R16" s="43">
        <v>16</v>
      </c>
      <c r="S16" s="186" t="s">
        <v>19</v>
      </c>
      <c r="T16" s="187"/>
      <c r="U16" s="187"/>
      <c r="V16" s="187"/>
      <c r="W16" s="187"/>
    </row>
    <row r="17" spans="1:23" s="37" customFormat="1" ht="21" hidden="1" customHeight="1" thickBot="1" x14ac:dyDescent="0.3">
      <c r="A17" s="184"/>
      <c r="B17" s="185"/>
      <c r="C17" s="44" t="b">
        <v>0</v>
      </c>
      <c r="D17" s="45" t="b">
        <v>0</v>
      </c>
      <c r="E17" s="45" t="b">
        <v>0</v>
      </c>
      <c r="F17" s="45" t="b">
        <v>0</v>
      </c>
      <c r="G17" s="45" t="b">
        <v>0</v>
      </c>
      <c r="H17" s="45" t="b">
        <v>0</v>
      </c>
      <c r="I17" s="45" t="b">
        <v>0</v>
      </c>
      <c r="J17" s="45" t="b">
        <v>0</v>
      </c>
      <c r="K17" s="45" t="b">
        <v>0</v>
      </c>
      <c r="L17" s="45" t="b">
        <v>0</v>
      </c>
      <c r="M17" s="45" t="b">
        <v>0</v>
      </c>
      <c r="N17" s="45" t="b">
        <v>0</v>
      </c>
      <c r="O17" s="45" t="b">
        <v>0</v>
      </c>
      <c r="P17" s="45" t="b">
        <v>0</v>
      </c>
      <c r="Q17" s="45" t="b">
        <v>0</v>
      </c>
      <c r="R17" s="45" t="b">
        <v>0</v>
      </c>
      <c r="S17" s="46"/>
      <c r="T17" s="47"/>
      <c r="U17" s="48"/>
      <c r="V17" s="48"/>
      <c r="W17" s="48"/>
    </row>
    <row r="18" spans="1:23" s="37" customFormat="1" ht="14.25" customHeight="1" thickBot="1" x14ac:dyDescent="0.3">
      <c r="A18" s="184"/>
      <c r="B18" s="185"/>
      <c r="C18" s="49">
        <v>17</v>
      </c>
      <c r="D18" s="50">
        <v>18</v>
      </c>
      <c r="E18" s="50">
        <v>19</v>
      </c>
      <c r="F18" s="50">
        <v>20</v>
      </c>
      <c r="G18" s="50">
        <v>21</v>
      </c>
      <c r="H18" s="50">
        <v>22</v>
      </c>
      <c r="I18" s="50">
        <v>23</v>
      </c>
      <c r="J18" s="50">
        <v>24</v>
      </c>
      <c r="K18" s="50">
        <v>25</v>
      </c>
      <c r="L18" s="50">
        <v>26</v>
      </c>
      <c r="M18" s="50">
        <v>27</v>
      </c>
      <c r="N18" s="50">
        <v>28</v>
      </c>
      <c r="O18" s="50">
        <v>29</v>
      </c>
      <c r="P18" s="50">
        <v>30</v>
      </c>
      <c r="Q18" s="50">
        <v>31</v>
      </c>
      <c r="R18" s="50"/>
      <c r="S18" s="188">
        <f>COUNTIF($C17:$W17,TRUE)+COUNTIF($C19:$W19,TRUE)+COUNTIF($C21:$W21,TRUE)+COUNTIF($C23:$W23,TRUE)+COUNTIF($C25:$W25,TRUE)+COUNTIF($C27:$W27,TRUE)</f>
        <v>0</v>
      </c>
      <c r="T18" s="189"/>
      <c r="U18" s="189"/>
      <c r="V18" s="189"/>
      <c r="W18" s="189"/>
    </row>
    <row r="19" spans="1:23" s="37" customFormat="1" ht="21" hidden="1" customHeight="1" thickBot="1" x14ac:dyDescent="0.3">
      <c r="A19" s="102"/>
      <c r="B19" s="51"/>
      <c r="C19" s="52" t="b">
        <v>0</v>
      </c>
      <c r="D19" s="53" t="b">
        <v>0</v>
      </c>
      <c r="E19" s="53" t="b">
        <v>0</v>
      </c>
      <c r="F19" s="53" t="b">
        <v>0</v>
      </c>
      <c r="G19" s="53" t="b">
        <v>0</v>
      </c>
      <c r="H19" s="53" t="b">
        <v>0</v>
      </c>
      <c r="I19" s="53" t="b">
        <v>0</v>
      </c>
      <c r="J19" s="53" t="b">
        <v>0</v>
      </c>
      <c r="K19" s="53" t="b">
        <v>0</v>
      </c>
      <c r="L19" s="53" t="b">
        <v>0</v>
      </c>
      <c r="M19" s="53" t="b">
        <v>0</v>
      </c>
      <c r="N19" s="53" t="b">
        <v>0</v>
      </c>
      <c r="O19" s="53" t="b">
        <v>0</v>
      </c>
      <c r="P19" s="53" t="b">
        <v>0</v>
      </c>
      <c r="Q19" s="53" t="b">
        <v>0</v>
      </c>
      <c r="R19" s="53" t="b">
        <v>0</v>
      </c>
      <c r="S19" s="54"/>
      <c r="T19" s="55"/>
      <c r="U19" s="92"/>
      <c r="V19" s="56"/>
      <c r="W19" s="48"/>
    </row>
    <row r="20" spans="1:23" s="37" customFormat="1" ht="14.25" customHeight="1" thickBot="1" x14ac:dyDescent="0.3">
      <c r="A20" s="184"/>
      <c r="B20" s="185"/>
      <c r="C20" s="42">
        <v>1</v>
      </c>
      <c r="D20" s="43">
        <v>2</v>
      </c>
      <c r="E20" s="43">
        <v>3</v>
      </c>
      <c r="F20" s="43">
        <v>4</v>
      </c>
      <c r="G20" s="43">
        <v>5</v>
      </c>
      <c r="H20" s="43">
        <v>6</v>
      </c>
      <c r="I20" s="43">
        <v>7</v>
      </c>
      <c r="J20" s="43">
        <v>8</v>
      </c>
      <c r="K20" s="43">
        <v>9</v>
      </c>
      <c r="L20" s="43">
        <v>10</v>
      </c>
      <c r="M20" s="43">
        <v>11</v>
      </c>
      <c r="N20" s="43">
        <v>12</v>
      </c>
      <c r="O20" s="43">
        <v>13</v>
      </c>
      <c r="P20" s="43">
        <v>14</v>
      </c>
      <c r="Q20" s="43">
        <v>15</v>
      </c>
      <c r="R20" s="43">
        <v>16</v>
      </c>
      <c r="S20" s="190" t="str">
        <f>"Recurring travel reimbursement amount
days x (km x rate + fares or tolls)
"&amp;IF(S18=0,"",S18&amp;" x ("&amp;IF(Q14=0,"",ROUND(Q14,1)&amp;" x "&amp;IF(T4=0,0,T4))&amp;IF(T14=0,"",IF(Q14=0,""," + ")&amp;T14)&amp;") =")</f>
        <v xml:space="preserve">Recurring travel reimbursement amount
days x (km x rate + fares or tolls)
</v>
      </c>
      <c r="T20" s="191"/>
      <c r="U20" s="191"/>
      <c r="V20" s="191"/>
      <c r="W20" s="191"/>
    </row>
    <row r="21" spans="1:23" s="37" customFormat="1" ht="0.75" hidden="1" customHeight="1" thickBot="1" x14ac:dyDescent="0.3">
      <c r="A21" s="184"/>
      <c r="B21" s="185"/>
      <c r="C21" s="44" t="b">
        <v>0</v>
      </c>
      <c r="D21" s="45" t="b">
        <v>0</v>
      </c>
      <c r="E21" s="45" t="b">
        <v>0</v>
      </c>
      <c r="F21" s="45" t="b">
        <v>0</v>
      </c>
      <c r="G21" s="45" t="b">
        <v>0</v>
      </c>
      <c r="H21" s="45" t="b">
        <v>0</v>
      </c>
      <c r="I21" s="45" t="b">
        <v>0</v>
      </c>
      <c r="J21" s="45" t="b">
        <v>0</v>
      </c>
      <c r="K21" s="45" t="b">
        <v>0</v>
      </c>
      <c r="L21" s="45" t="b">
        <v>0</v>
      </c>
      <c r="M21" s="45" t="b">
        <v>0</v>
      </c>
      <c r="N21" s="45" t="b">
        <v>0</v>
      </c>
      <c r="O21" s="45" t="b">
        <v>0</v>
      </c>
      <c r="P21" s="45" t="b">
        <v>0</v>
      </c>
      <c r="Q21" s="45" t="b">
        <v>0</v>
      </c>
      <c r="R21" s="45" t="b">
        <v>0</v>
      </c>
      <c r="S21" s="190"/>
      <c r="T21" s="191"/>
      <c r="U21" s="191"/>
      <c r="V21" s="191"/>
      <c r="W21" s="191"/>
    </row>
    <row r="22" spans="1:23" s="37" customFormat="1" ht="14.25" customHeight="1" thickBot="1" x14ac:dyDescent="0.3">
      <c r="A22" s="184"/>
      <c r="B22" s="185"/>
      <c r="C22" s="49">
        <v>17</v>
      </c>
      <c r="D22" s="50">
        <v>18</v>
      </c>
      <c r="E22" s="50">
        <v>19</v>
      </c>
      <c r="F22" s="50">
        <v>20</v>
      </c>
      <c r="G22" s="50">
        <v>21</v>
      </c>
      <c r="H22" s="50">
        <v>22</v>
      </c>
      <c r="I22" s="50">
        <v>23</v>
      </c>
      <c r="J22" s="50">
        <v>24</v>
      </c>
      <c r="K22" s="50">
        <v>25</v>
      </c>
      <c r="L22" s="50">
        <v>26</v>
      </c>
      <c r="M22" s="50">
        <v>27</v>
      </c>
      <c r="N22" s="50">
        <v>28</v>
      </c>
      <c r="O22" s="50">
        <v>29</v>
      </c>
      <c r="P22" s="50">
        <v>30</v>
      </c>
      <c r="Q22" s="50">
        <v>31</v>
      </c>
      <c r="R22" s="50"/>
      <c r="S22" s="190"/>
      <c r="T22" s="191"/>
      <c r="U22" s="191"/>
      <c r="V22" s="191"/>
      <c r="W22" s="191"/>
    </row>
    <row r="23" spans="1:23" s="37" customFormat="1" ht="21" hidden="1" customHeight="1" thickBot="1" x14ac:dyDescent="0.3">
      <c r="A23" s="102"/>
      <c r="B23" s="51"/>
      <c r="C23" s="57" t="b">
        <v>0</v>
      </c>
      <c r="D23" s="58" t="b">
        <v>0</v>
      </c>
      <c r="E23" s="58" t="b">
        <v>0</v>
      </c>
      <c r="F23" s="58" t="b">
        <v>0</v>
      </c>
      <c r="G23" s="58" t="b">
        <v>0</v>
      </c>
      <c r="H23" s="58" t="b">
        <v>0</v>
      </c>
      <c r="I23" s="58" t="b">
        <v>0</v>
      </c>
      <c r="J23" s="58" t="b">
        <v>0</v>
      </c>
      <c r="K23" s="58" t="b">
        <v>0</v>
      </c>
      <c r="L23" s="58" t="b">
        <v>0</v>
      </c>
      <c r="M23" s="58" t="b">
        <v>0</v>
      </c>
      <c r="N23" s="58" t="b">
        <v>0</v>
      </c>
      <c r="O23" s="58" t="b">
        <v>0</v>
      </c>
      <c r="P23" s="58" t="b">
        <v>0</v>
      </c>
      <c r="Q23" s="58" t="b">
        <v>0</v>
      </c>
      <c r="R23" s="58"/>
      <c r="S23" s="59"/>
      <c r="T23" s="60"/>
      <c r="U23" s="60"/>
      <c r="V23" s="61"/>
      <c r="W23" s="61"/>
    </row>
    <row r="24" spans="1:23" s="37" customFormat="1" ht="14.25" customHeight="1" thickBot="1" x14ac:dyDescent="0.3">
      <c r="A24" s="184"/>
      <c r="B24" s="185"/>
      <c r="C24" s="42">
        <v>1</v>
      </c>
      <c r="D24" s="43">
        <v>2</v>
      </c>
      <c r="E24" s="43">
        <v>3</v>
      </c>
      <c r="F24" s="43">
        <v>4</v>
      </c>
      <c r="G24" s="43">
        <v>5</v>
      </c>
      <c r="H24" s="43">
        <v>6</v>
      </c>
      <c r="I24" s="43">
        <v>7</v>
      </c>
      <c r="J24" s="43">
        <v>8</v>
      </c>
      <c r="K24" s="43">
        <v>9</v>
      </c>
      <c r="L24" s="43">
        <v>10</v>
      </c>
      <c r="M24" s="43">
        <v>11</v>
      </c>
      <c r="N24" s="43">
        <v>12</v>
      </c>
      <c r="O24" s="43">
        <v>13</v>
      </c>
      <c r="P24" s="43">
        <v>14</v>
      </c>
      <c r="Q24" s="43">
        <v>15</v>
      </c>
      <c r="R24" s="43">
        <v>16</v>
      </c>
      <c r="S24" s="192">
        <f>ROUND(S18*(ROUND(Q14,1)*T4+T14),2)</f>
        <v>0</v>
      </c>
      <c r="T24" s="193"/>
      <c r="U24" s="193"/>
      <c r="V24" s="193"/>
      <c r="W24" s="193"/>
    </row>
    <row r="25" spans="1:23" s="37" customFormat="1" ht="21" hidden="1" customHeight="1" thickBot="1" x14ac:dyDescent="0.3">
      <c r="A25" s="184"/>
      <c r="B25" s="185"/>
      <c r="C25" s="44" t="b">
        <v>0</v>
      </c>
      <c r="D25" s="45" t="b">
        <v>0</v>
      </c>
      <c r="E25" s="45" t="b">
        <v>0</v>
      </c>
      <c r="F25" s="45" t="b">
        <v>0</v>
      </c>
      <c r="G25" s="45" t="b">
        <v>0</v>
      </c>
      <c r="H25" s="45" t="b">
        <v>0</v>
      </c>
      <c r="I25" s="45" t="b">
        <v>0</v>
      </c>
      <c r="J25" s="45" t="b">
        <v>0</v>
      </c>
      <c r="K25" s="45" t="b">
        <v>0</v>
      </c>
      <c r="L25" s="45" t="b">
        <v>0</v>
      </c>
      <c r="M25" s="45" t="b">
        <v>0</v>
      </c>
      <c r="N25" s="45" t="b">
        <v>0</v>
      </c>
      <c r="O25" s="45" t="b">
        <v>0</v>
      </c>
      <c r="P25" s="45" t="b">
        <v>0</v>
      </c>
      <c r="Q25" s="45" t="b">
        <v>0</v>
      </c>
      <c r="R25" s="45" t="b">
        <v>0</v>
      </c>
      <c r="S25" s="192"/>
      <c r="T25" s="193"/>
      <c r="U25" s="193"/>
      <c r="V25" s="193"/>
      <c r="W25" s="193"/>
    </row>
    <row r="26" spans="1:23" s="37" customFormat="1" ht="14.25" customHeight="1" thickBot="1" x14ac:dyDescent="0.3">
      <c r="A26" s="184"/>
      <c r="B26" s="185"/>
      <c r="C26" s="49">
        <v>17</v>
      </c>
      <c r="D26" s="50">
        <v>18</v>
      </c>
      <c r="E26" s="50">
        <v>19</v>
      </c>
      <c r="F26" s="50">
        <v>20</v>
      </c>
      <c r="G26" s="50">
        <v>21</v>
      </c>
      <c r="H26" s="50">
        <v>22</v>
      </c>
      <c r="I26" s="50">
        <v>23</v>
      </c>
      <c r="J26" s="50">
        <v>24</v>
      </c>
      <c r="K26" s="50">
        <v>25</v>
      </c>
      <c r="L26" s="50">
        <v>26</v>
      </c>
      <c r="M26" s="50">
        <v>27</v>
      </c>
      <c r="N26" s="50">
        <v>28</v>
      </c>
      <c r="O26" s="50">
        <v>29</v>
      </c>
      <c r="P26" s="50">
        <v>30</v>
      </c>
      <c r="Q26" s="50">
        <v>31</v>
      </c>
      <c r="R26" s="50"/>
      <c r="S26" s="194"/>
      <c r="T26" s="195"/>
      <c r="U26" s="195"/>
      <c r="V26" s="195"/>
      <c r="W26" s="195"/>
    </row>
    <row r="27" spans="1:23" s="37" customFormat="1" ht="21" hidden="1" customHeight="1" thickBot="1" x14ac:dyDescent="0.3">
      <c r="B27" s="74"/>
      <c r="C27" s="75" t="b">
        <v>0</v>
      </c>
      <c r="D27" s="75" t="b">
        <v>0</v>
      </c>
      <c r="E27" s="75" t="b">
        <v>0</v>
      </c>
      <c r="F27" s="75" t="b">
        <v>0</v>
      </c>
      <c r="G27" s="75" t="b">
        <v>0</v>
      </c>
      <c r="H27" s="75" t="b">
        <v>0</v>
      </c>
      <c r="I27" s="75" t="b">
        <v>0</v>
      </c>
      <c r="J27" s="75" t="b">
        <v>0</v>
      </c>
      <c r="K27" s="75" t="b">
        <v>0</v>
      </c>
      <c r="L27" s="75" t="b">
        <v>0</v>
      </c>
      <c r="M27" s="75" t="b">
        <v>0</v>
      </c>
      <c r="N27" s="75" t="b">
        <v>0</v>
      </c>
      <c r="O27" s="75" t="b">
        <v>0</v>
      </c>
      <c r="P27" s="75" t="b">
        <v>0</v>
      </c>
      <c r="Q27" s="75" t="b">
        <v>0</v>
      </c>
      <c r="R27" s="76"/>
      <c r="S27" s="77"/>
      <c r="T27" s="78"/>
      <c r="U27" s="93"/>
      <c r="V27" s="196"/>
      <c r="W27" s="197"/>
    </row>
    <row r="28" spans="1:23" s="37" customFormat="1" ht="6" customHeight="1" thickBot="1" x14ac:dyDescent="0.3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</row>
    <row r="29" spans="1:23" s="37" customFormat="1" ht="12.75" customHeight="1" x14ac:dyDescent="0.25">
      <c r="A29" s="151" t="s">
        <v>20</v>
      </c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</row>
    <row r="30" spans="1:23" s="37" customFormat="1" ht="11.25" customHeight="1" x14ac:dyDescent="0.25">
      <c r="A30" s="208" t="s">
        <v>21</v>
      </c>
      <c r="B30" s="206"/>
      <c r="C30" s="205" t="s">
        <v>22</v>
      </c>
      <c r="D30" s="208"/>
      <c r="E30" s="208"/>
      <c r="F30" s="208"/>
      <c r="G30" s="206"/>
      <c r="H30" s="205" t="s">
        <v>23</v>
      </c>
      <c r="I30" s="208"/>
      <c r="J30" s="208"/>
      <c r="K30" s="208"/>
      <c r="L30" s="206"/>
      <c r="M30" s="205" t="s">
        <v>13</v>
      </c>
      <c r="N30" s="208"/>
      <c r="O30" s="208"/>
      <c r="P30" s="208"/>
      <c r="Q30" s="208"/>
      <c r="R30" s="206"/>
      <c r="S30" s="80" t="s">
        <v>24</v>
      </c>
      <c r="T30" s="205" t="s">
        <v>25</v>
      </c>
      <c r="U30" s="206"/>
      <c r="V30" s="172" t="s">
        <v>26</v>
      </c>
      <c r="W30" s="173"/>
    </row>
    <row r="31" spans="1:23" s="37" customFormat="1" ht="13.5" customHeight="1" x14ac:dyDescent="0.25">
      <c r="A31" s="117"/>
      <c r="B31" s="118"/>
      <c r="C31" s="119"/>
      <c r="D31" s="120"/>
      <c r="E31" s="120"/>
      <c r="F31" s="120"/>
      <c r="G31" s="121"/>
      <c r="H31" s="122"/>
      <c r="I31" s="123"/>
      <c r="J31" s="123"/>
      <c r="K31" s="123"/>
      <c r="L31" s="124"/>
      <c r="M31" s="125"/>
      <c r="N31" s="126"/>
      <c r="O31" s="126"/>
      <c r="P31" s="126"/>
      <c r="Q31" s="126"/>
      <c r="R31" s="127"/>
      <c r="S31" s="81"/>
      <c r="T31" s="115"/>
      <c r="U31" s="116"/>
      <c r="V31" s="113">
        <f>ROUND(S31*$T$4+T31,2)</f>
        <v>0</v>
      </c>
      <c r="W31" s="114"/>
    </row>
    <row r="32" spans="1:23" s="37" customFormat="1" ht="13.5" customHeight="1" x14ac:dyDescent="0.25">
      <c r="A32" s="117"/>
      <c r="B32" s="118"/>
      <c r="C32" s="119"/>
      <c r="D32" s="120"/>
      <c r="E32" s="120"/>
      <c r="F32" s="120"/>
      <c r="G32" s="121"/>
      <c r="H32" s="122"/>
      <c r="I32" s="123"/>
      <c r="J32" s="123"/>
      <c r="K32" s="123"/>
      <c r="L32" s="124"/>
      <c r="M32" s="125"/>
      <c r="N32" s="126"/>
      <c r="O32" s="126"/>
      <c r="P32" s="126"/>
      <c r="Q32" s="126"/>
      <c r="R32" s="127"/>
      <c r="S32" s="81"/>
      <c r="T32" s="115"/>
      <c r="U32" s="116"/>
      <c r="V32" s="113">
        <f t="shared" ref="V32:V49" si="0">ROUND(S32*$T$4+T32,2)</f>
        <v>0</v>
      </c>
      <c r="W32" s="114"/>
    </row>
    <row r="33" spans="1:23" s="37" customFormat="1" ht="13.5" customHeight="1" x14ac:dyDescent="0.25">
      <c r="A33" s="117"/>
      <c r="B33" s="118"/>
      <c r="C33" s="119"/>
      <c r="D33" s="120"/>
      <c r="E33" s="120"/>
      <c r="F33" s="120"/>
      <c r="G33" s="121"/>
      <c r="H33" s="122"/>
      <c r="I33" s="123"/>
      <c r="J33" s="123"/>
      <c r="K33" s="123"/>
      <c r="L33" s="124"/>
      <c r="M33" s="125"/>
      <c r="N33" s="126"/>
      <c r="O33" s="126"/>
      <c r="P33" s="126"/>
      <c r="Q33" s="126"/>
      <c r="R33" s="127"/>
      <c r="S33" s="81"/>
      <c r="T33" s="115"/>
      <c r="U33" s="116"/>
      <c r="V33" s="113">
        <f t="shared" si="0"/>
        <v>0</v>
      </c>
      <c r="W33" s="114"/>
    </row>
    <row r="34" spans="1:23" s="37" customFormat="1" ht="13.5" customHeight="1" x14ac:dyDescent="0.25">
      <c r="A34" s="117"/>
      <c r="B34" s="118"/>
      <c r="C34" s="119"/>
      <c r="D34" s="120"/>
      <c r="E34" s="120"/>
      <c r="F34" s="120"/>
      <c r="G34" s="121"/>
      <c r="H34" s="122"/>
      <c r="I34" s="123"/>
      <c r="J34" s="123"/>
      <c r="K34" s="123"/>
      <c r="L34" s="124"/>
      <c r="M34" s="125"/>
      <c r="N34" s="126"/>
      <c r="O34" s="126"/>
      <c r="P34" s="126"/>
      <c r="Q34" s="126"/>
      <c r="R34" s="127"/>
      <c r="S34" s="81"/>
      <c r="T34" s="115"/>
      <c r="U34" s="116"/>
      <c r="V34" s="113">
        <f t="shared" si="0"/>
        <v>0</v>
      </c>
      <c r="W34" s="114"/>
    </row>
    <row r="35" spans="1:23" s="37" customFormat="1" ht="13.5" customHeight="1" x14ac:dyDescent="0.25">
      <c r="A35" s="117"/>
      <c r="B35" s="118"/>
      <c r="C35" s="119"/>
      <c r="D35" s="120"/>
      <c r="E35" s="120"/>
      <c r="F35" s="120"/>
      <c r="G35" s="121"/>
      <c r="H35" s="122"/>
      <c r="I35" s="123"/>
      <c r="J35" s="123"/>
      <c r="K35" s="123"/>
      <c r="L35" s="124"/>
      <c r="M35" s="125"/>
      <c r="N35" s="126"/>
      <c r="O35" s="126"/>
      <c r="P35" s="126"/>
      <c r="Q35" s="126"/>
      <c r="R35" s="127"/>
      <c r="S35" s="81"/>
      <c r="T35" s="115"/>
      <c r="U35" s="116"/>
      <c r="V35" s="113">
        <f t="shared" si="0"/>
        <v>0</v>
      </c>
      <c r="W35" s="114"/>
    </row>
    <row r="36" spans="1:23" s="37" customFormat="1" ht="13.5" customHeight="1" x14ac:dyDescent="0.25">
      <c r="A36" s="117"/>
      <c r="B36" s="118"/>
      <c r="C36" s="119"/>
      <c r="D36" s="120"/>
      <c r="E36" s="120"/>
      <c r="F36" s="120"/>
      <c r="G36" s="121"/>
      <c r="H36" s="122"/>
      <c r="I36" s="123"/>
      <c r="J36" s="123"/>
      <c r="K36" s="123"/>
      <c r="L36" s="124"/>
      <c r="M36" s="125"/>
      <c r="N36" s="126"/>
      <c r="O36" s="126"/>
      <c r="P36" s="126"/>
      <c r="Q36" s="126"/>
      <c r="R36" s="127"/>
      <c r="S36" s="81"/>
      <c r="T36" s="115"/>
      <c r="U36" s="116"/>
      <c r="V36" s="113">
        <f t="shared" si="0"/>
        <v>0</v>
      </c>
      <c r="W36" s="114"/>
    </row>
    <row r="37" spans="1:23" s="37" customFormat="1" ht="13.5" customHeight="1" x14ac:dyDescent="0.25">
      <c r="A37" s="117"/>
      <c r="B37" s="118"/>
      <c r="C37" s="119"/>
      <c r="D37" s="120"/>
      <c r="E37" s="120"/>
      <c r="F37" s="120"/>
      <c r="G37" s="121"/>
      <c r="H37" s="122"/>
      <c r="I37" s="123"/>
      <c r="J37" s="123"/>
      <c r="K37" s="123"/>
      <c r="L37" s="124"/>
      <c r="M37" s="125"/>
      <c r="N37" s="126"/>
      <c r="O37" s="126"/>
      <c r="P37" s="126"/>
      <c r="Q37" s="126"/>
      <c r="R37" s="127"/>
      <c r="S37" s="81"/>
      <c r="T37" s="115"/>
      <c r="U37" s="116"/>
      <c r="V37" s="113">
        <f t="shared" si="0"/>
        <v>0</v>
      </c>
      <c r="W37" s="114"/>
    </row>
    <row r="38" spans="1:23" s="37" customFormat="1" ht="13.5" customHeight="1" x14ac:dyDescent="0.25">
      <c r="A38" s="117"/>
      <c r="B38" s="118"/>
      <c r="C38" s="119"/>
      <c r="D38" s="120"/>
      <c r="E38" s="120"/>
      <c r="F38" s="120"/>
      <c r="G38" s="121"/>
      <c r="H38" s="122"/>
      <c r="I38" s="123"/>
      <c r="J38" s="123"/>
      <c r="K38" s="123"/>
      <c r="L38" s="124"/>
      <c r="M38" s="125"/>
      <c r="N38" s="126"/>
      <c r="O38" s="126"/>
      <c r="P38" s="126"/>
      <c r="Q38" s="126"/>
      <c r="R38" s="127"/>
      <c r="S38" s="81"/>
      <c r="T38" s="115"/>
      <c r="U38" s="116"/>
      <c r="V38" s="113">
        <f t="shared" si="0"/>
        <v>0</v>
      </c>
      <c r="W38" s="114"/>
    </row>
    <row r="39" spans="1:23" s="37" customFormat="1" ht="13.5" customHeight="1" x14ac:dyDescent="0.25">
      <c r="A39" s="117"/>
      <c r="B39" s="118"/>
      <c r="C39" s="119"/>
      <c r="D39" s="120"/>
      <c r="E39" s="120"/>
      <c r="F39" s="120"/>
      <c r="G39" s="121"/>
      <c r="H39" s="122"/>
      <c r="I39" s="123"/>
      <c r="J39" s="123"/>
      <c r="K39" s="123"/>
      <c r="L39" s="124"/>
      <c r="M39" s="125"/>
      <c r="N39" s="126"/>
      <c r="O39" s="126"/>
      <c r="P39" s="126"/>
      <c r="Q39" s="126"/>
      <c r="R39" s="127"/>
      <c r="S39" s="81"/>
      <c r="T39" s="115"/>
      <c r="U39" s="116"/>
      <c r="V39" s="113">
        <f t="shared" si="0"/>
        <v>0</v>
      </c>
      <c r="W39" s="114"/>
    </row>
    <row r="40" spans="1:23" s="37" customFormat="1" ht="13.5" customHeight="1" x14ac:dyDescent="0.25">
      <c r="A40" s="117"/>
      <c r="B40" s="118"/>
      <c r="C40" s="119"/>
      <c r="D40" s="120"/>
      <c r="E40" s="120"/>
      <c r="F40" s="120"/>
      <c r="G40" s="121"/>
      <c r="H40" s="122"/>
      <c r="I40" s="123"/>
      <c r="J40" s="123"/>
      <c r="K40" s="123"/>
      <c r="L40" s="124"/>
      <c r="M40" s="125"/>
      <c r="N40" s="126"/>
      <c r="O40" s="126"/>
      <c r="P40" s="126"/>
      <c r="Q40" s="126"/>
      <c r="R40" s="127"/>
      <c r="S40" s="81"/>
      <c r="T40" s="115"/>
      <c r="U40" s="116"/>
      <c r="V40" s="113">
        <f t="shared" si="0"/>
        <v>0</v>
      </c>
      <c r="W40" s="114"/>
    </row>
    <row r="41" spans="1:23" s="37" customFormat="1" ht="13.5" customHeight="1" x14ac:dyDescent="0.25">
      <c r="A41" s="117"/>
      <c r="B41" s="118"/>
      <c r="C41" s="119"/>
      <c r="D41" s="120"/>
      <c r="E41" s="120"/>
      <c r="F41" s="120"/>
      <c r="G41" s="121"/>
      <c r="H41" s="122"/>
      <c r="I41" s="123"/>
      <c r="J41" s="123"/>
      <c r="K41" s="123"/>
      <c r="L41" s="124"/>
      <c r="M41" s="125"/>
      <c r="N41" s="126"/>
      <c r="O41" s="126"/>
      <c r="P41" s="126"/>
      <c r="Q41" s="126"/>
      <c r="R41" s="127"/>
      <c r="S41" s="81"/>
      <c r="T41" s="115"/>
      <c r="U41" s="116"/>
      <c r="V41" s="113">
        <f t="shared" si="0"/>
        <v>0</v>
      </c>
      <c r="W41" s="114"/>
    </row>
    <row r="42" spans="1:23" s="37" customFormat="1" ht="13.5" customHeight="1" x14ac:dyDescent="0.25">
      <c r="A42" s="117"/>
      <c r="B42" s="118"/>
      <c r="C42" s="119"/>
      <c r="D42" s="120"/>
      <c r="E42" s="120"/>
      <c r="F42" s="120"/>
      <c r="G42" s="121"/>
      <c r="H42" s="122"/>
      <c r="I42" s="123"/>
      <c r="J42" s="123"/>
      <c r="K42" s="123"/>
      <c r="L42" s="124"/>
      <c r="M42" s="125"/>
      <c r="N42" s="126"/>
      <c r="O42" s="126"/>
      <c r="P42" s="126"/>
      <c r="Q42" s="126"/>
      <c r="R42" s="127"/>
      <c r="S42" s="81"/>
      <c r="T42" s="115"/>
      <c r="U42" s="116"/>
      <c r="V42" s="113">
        <f t="shared" si="0"/>
        <v>0</v>
      </c>
      <c r="W42" s="114"/>
    </row>
    <row r="43" spans="1:23" s="37" customFormat="1" ht="13.5" customHeight="1" x14ac:dyDescent="0.25">
      <c r="A43" s="117"/>
      <c r="B43" s="118"/>
      <c r="C43" s="119"/>
      <c r="D43" s="120"/>
      <c r="E43" s="120"/>
      <c r="F43" s="120"/>
      <c r="G43" s="121"/>
      <c r="H43" s="122"/>
      <c r="I43" s="123"/>
      <c r="J43" s="123"/>
      <c r="K43" s="123"/>
      <c r="L43" s="124"/>
      <c r="M43" s="125"/>
      <c r="N43" s="126"/>
      <c r="O43" s="126"/>
      <c r="P43" s="126"/>
      <c r="Q43" s="126"/>
      <c r="R43" s="127"/>
      <c r="S43" s="81"/>
      <c r="T43" s="115"/>
      <c r="U43" s="116"/>
      <c r="V43" s="113">
        <f t="shared" si="0"/>
        <v>0</v>
      </c>
      <c r="W43" s="114"/>
    </row>
    <row r="44" spans="1:23" s="37" customFormat="1" ht="13.5" customHeight="1" x14ac:dyDescent="0.25">
      <c r="A44" s="117"/>
      <c r="B44" s="118"/>
      <c r="C44" s="119"/>
      <c r="D44" s="120"/>
      <c r="E44" s="120"/>
      <c r="F44" s="120"/>
      <c r="G44" s="121"/>
      <c r="H44" s="122"/>
      <c r="I44" s="123"/>
      <c r="J44" s="123"/>
      <c r="K44" s="123"/>
      <c r="L44" s="124"/>
      <c r="M44" s="125"/>
      <c r="N44" s="126"/>
      <c r="O44" s="126"/>
      <c r="P44" s="126"/>
      <c r="Q44" s="126"/>
      <c r="R44" s="127"/>
      <c r="S44" s="81"/>
      <c r="T44" s="115"/>
      <c r="U44" s="116"/>
      <c r="V44" s="113">
        <f t="shared" si="0"/>
        <v>0</v>
      </c>
      <c r="W44" s="114"/>
    </row>
    <row r="45" spans="1:23" s="37" customFormat="1" ht="13.5" customHeight="1" x14ac:dyDescent="0.25">
      <c r="A45" s="117"/>
      <c r="B45" s="118"/>
      <c r="C45" s="119"/>
      <c r="D45" s="120"/>
      <c r="E45" s="120"/>
      <c r="F45" s="120"/>
      <c r="G45" s="121"/>
      <c r="H45" s="122"/>
      <c r="I45" s="123"/>
      <c r="J45" s="123"/>
      <c r="K45" s="123"/>
      <c r="L45" s="124"/>
      <c r="M45" s="125"/>
      <c r="N45" s="126"/>
      <c r="O45" s="126"/>
      <c r="P45" s="126"/>
      <c r="Q45" s="126"/>
      <c r="R45" s="127"/>
      <c r="S45" s="81"/>
      <c r="T45" s="115"/>
      <c r="U45" s="116"/>
      <c r="V45" s="113">
        <f t="shared" si="0"/>
        <v>0</v>
      </c>
      <c r="W45" s="114"/>
    </row>
    <row r="46" spans="1:23" s="37" customFormat="1" ht="13.5" customHeight="1" x14ac:dyDescent="0.25">
      <c r="A46" s="117"/>
      <c r="B46" s="118"/>
      <c r="C46" s="119"/>
      <c r="D46" s="120"/>
      <c r="E46" s="120"/>
      <c r="F46" s="120"/>
      <c r="G46" s="121"/>
      <c r="H46" s="122"/>
      <c r="I46" s="123"/>
      <c r="J46" s="123"/>
      <c r="K46" s="123"/>
      <c r="L46" s="124"/>
      <c r="M46" s="125"/>
      <c r="N46" s="126"/>
      <c r="O46" s="126"/>
      <c r="P46" s="126"/>
      <c r="Q46" s="126"/>
      <c r="R46" s="127"/>
      <c r="S46" s="81"/>
      <c r="T46" s="115"/>
      <c r="U46" s="116"/>
      <c r="V46" s="113">
        <f t="shared" si="0"/>
        <v>0</v>
      </c>
      <c r="W46" s="114"/>
    </row>
    <row r="47" spans="1:23" s="37" customFormat="1" ht="13.5" customHeight="1" x14ac:dyDescent="0.25">
      <c r="A47" s="117"/>
      <c r="B47" s="118"/>
      <c r="C47" s="119"/>
      <c r="D47" s="120"/>
      <c r="E47" s="120"/>
      <c r="F47" s="120"/>
      <c r="G47" s="121"/>
      <c r="H47" s="122"/>
      <c r="I47" s="123"/>
      <c r="J47" s="123"/>
      <c r="K47" s="123"/>
      <c r="L47" s="124"/>
      <c r="M47" s="125"/>
      <c r="N47" s="126"/>
      <c r="O47" s="126"/>
      <c r="P47" s="126"/>
      <c r="Q47" s="126"/>
      <c r="R47" s="127"/>
      <c r="S47" s="81"/>
      <c r="T47" s="115"/>
      <c r="U47" s="116"/>
      <c r="V47" s="113">
        <f t="shared" si="0"/>
        <v>0</v>
      </c>
      <c r="W47" s="114"/>
    </row>
    <row r="48" spans="1:23" s="37" customFormat="1" ht="13.5" customHeight="1" x14ac:dyDescent="0.25">
      <c r="A48" s="117"/>
      <c r="B48" s="118"/>
      <c r="C48" s="119"/>
      <c r="D48" s="120"/>
      <c r="E48" s="120"/>
      <c r="F48" s="120"/>
      <c r="G48" s="121"/>
      <c r="H48" s="122"/>
      <c r="I48" s="123"/>
      <c r="J48" s="123"/>
      <c r="K48" s="123"/>
      <c r="L48" s="124"/>
      <c r="M48" s="125"/>
      <c r="N48" s="126"/>
      <c r="O48" s="126"/>
      <c r="P48" s="126"/>
      <c r="Q48" s="126"/>
      <c r="R48" s="127"/>
      <c r="S48" s="81"/>
      <c r="T48" s="115"/>
      <c r="U48" s="116"/>
      <c r="V48" s="113">
        <f t="shared" si="0"/>
        <v>0</v>
      </c>
      <c r="W48" s="114"/>
    </row>
    <row r="49" spans="1:23" s="37" customFormat="1" ht="13.5" customHeight="1" x14ac:dyDescent="0.25">
      <c r="A49" s="117"/>
      <c r="B49" s="118"/>
      <c r="C49" s="119"/>
      <c r="D49" s="120"/>
      <c r="E49" s="120"/>
      <c r="F49" s="120"/>
      <c r="G49" s="121"/>
      <c r="H49" s="122"/>
      <c r="I49" s="123"/>
      <c r="J49" s="123"/>
      <c r="K49" s="123"/>
      <c r="L49" s="124"/>
      <c r="M49" s="125"/>
      <c r="N49" s="126"/>
      <c r="O49" s="126"/>
      <c r="P49" s="126"/>
      <c r="Q49" s="126"/>
      <c r="R49" s="127"/>
      <c r="S49" s="81"/>
      <c r="T49" s="115"/>
      <c r="U49" s="116"/>
      <c r="V49" s="113">
        <f t="shared" si="0"/>
        <v>0</v>
      </c>
      <c r="W49" s="114"/>
    </row>
    <row r="50" spans="1:23" s="37" customFormat="1" ht="13.5" customHeight="1" x14ac:dyDescent="0.25">
      <c r="A50" s="95"/>
      <c r="B50" s="82"/>
      <c r="C50" s="105"/>
      <c r="D50" s="105"/>
      <c r="E50" s="105"/>
      <c r="F50" s="105"/>
      <c r="G50" s="105"/>
      <c r="H50" s="106"/>
      <c r="I50" s="106"/>
      <c r="J50" s="106"/>
      <c r="K50" s="106"/>
      <c r="L50" s="106"/>
      <c r="M50" s="107"/>
      <c r="N50" s="107"/>
      <c r="O50" s="107"/>
      <c r="P50" s="107"/>
      <c r="Q50" s="107"/>
      <c r="R50" s="87" t="s">
        <v>27</v>
      </c>
      <c r="S50" s="103">
        <f>'Additional Varied Travel'!E57</f>
        <v>0</v>
      </c>
      <c r="T50" s="128">
        <f>'Additional Varied Travel'!F57</f>
        <v>0</v>
      </c>
      <c r="U50" s="129"/>
      <c r="V50" s="128">
        <f>'Additional Varied Travel'!G57</f>
        <v>0</v>
      </c>
      <c r="W50" s="130"/>
    </row>
    <row r="51" spans="1:23" s="37" customFormat="1" ht="14.25" customHeight="1" x14ac:dyDescent="0.25">
      <c r="A51" s="95"/>
      <c r="B51" s="82"/>
      <c r="C51" s="96"/>
      <c r="D51" s="96"/>
      <c r="E51" s="97"/>
      <c r="F51" s="97"/>
      <c r="G51" s="97"/>
      <c r="H51" s="84"/>
      <c r="I51" s="84"/>
      <c r="J51" s="84"/>
      <c r="K51" s="84"/>
      <c r="L51" s="84"/>
      <c r="M51" s="98"/>
      <c r="N51" s="98"/>
      <c r="O51" s="98"/>
      <c r="P51" s="98"/>
      <c r="Q51" s="98"/>
      <c r="R51" s="87" t="s">
        <v>28</v>
      </c>
      <c r="S51" s="103">
        <f>SUM(S31:S50)</f>
        <v>0</v>
      </c>
      <c r="T51" s="128">
        <f>SUM(T31:U50)</f>
        <v>0</v>
      </c>
      <c r="U51" s="129"/>
      <c r="V51" s="128">
        <f>SUM(V31:W50)</f>
        <v>0</v>
      </c>
      <c r="W51" s="130"/>
    </row>
    <row r="52" spans="1:23" s="37" customFormat="1" ht="6" customHeight="1" thickBot="1" x14ac:dyDescent="0.3">
      <c r="B52" s="82"/>
      <c r="C52" s="62"/>
      <c r="D52" s="62"/>
      <c r="E52" s="83"/>
      <c r="F52" s="83"/>
      <c r="G52" s="83"/>
      <c r="H52" s="84"/>
      <c r="I52" s="84"/>
      <c r="J52" s="84"/>
      <c r="K52" s="85"/>
      <c r="L52" s="85"/>
      <c r="M52" s="86"/>
      <c r="N52" s="86"/>
      <c r="O52" s="86"/>
      <c r="P52" s="86"/>
      <c r="Q52" s="86"/>
      <c r="R52" s="87"/>
      <c r="S52" s="88"/>
      <c r="T52" s="89"/>
      <c r="U52" s="89"/>
      <c r="V52" s="89"/>
      <c r="W52" s="90"/>
    </row>
    <row r="53" spans="1:23" ht="12.75" customHeight="1" x14ac:dyDescent="0.25">
      <c r="A53" s="151" t="s">
        <v>29</v>
      </c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</row>
    <row r="54" spans="1:23" ht="11.75" customHeight="1" x14ac:dyDescent="0.25">
      <c r="A54" s="229" t="s">
        <v>30</v>
      </c>
      <c r="B54" s="132" t="s">
        <v>31</v>
      </c>
      <c r="C54" s="133"/>
      <c r="D54" s="133"/>
      <c r="E54" s="134"/>
      <c r="F54" s="132" t="s">
        <v>32</v>
      </c>
      <c r="G54" s="133"/>
      <c r="H54" s="133"/>
      <c r="I54" s="133"/>
      <c r="J54" s="133"/>
      <c r="K54" s="133"/>
      <c r="L54" s="133"/>
      <c r="M54" s="133"/>
      <c r="N54" s="134"/>
      <c r="O54" s="232" t="s">
        <v>33</v>
      </c>
      <c r="P54" s="229"/>
      <c r="Q54" s="142" t="s">
        <v>34</v>
      </c>
      <c r="R54" s="143"/>
      <c r="S54" s="143"/>
      <c r="T54" s="143"/>
      <c r="U54" s="144"/>
      <c r="V54" s="133" t="s">
        <v>35</v>
      </c>
      <c r="W54" s="133"/>
    </row>
    <row r="55" spans="1:23" ht="13.25" customHeight="1" x14ac:dyDescent="0.25">
      <c r="A55" s="230"/>
      <c r="B55" s="135"/>
      <c r="C55" s="136"/>
      <c r="D55" s="136"/>
      <c r="E55" s="137"/>
      <c r="F55" s="135"/>
      <c r="G55" s="136"/>
      <c r="H55" s="136"/>
      <c r="I55" s="136"/>
      <c r="J55" s="136"/>
      <c r="K55" s="136"/>
      <c r="L55" s="136"/>
      <c r="M55" s="136"/>
      <c r="N55" s="137"/>
      <c r="O55" s="233"/>
      <c r="P55" s="230"/>
      <c r="Q55" s="140"/>
      <c r="R55" s="141"/>
      <c r="S55" s="112"/>
      <c r="T55" s="231"/>
      <c r="U55" s="141"/>
      <c r="V55" s="136"/>
      <c r="W55" s="136"/>
    </row>
    <row r="56" spans="1:23" ht="13.5" customHeight="1" x14ac:dyDescent="0.25">
      <c r="A56" s="14">
        <v>1</v>
      </c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8"/>
      <c r="P56" s="139"/>
      <c r="Q56" s="115"/>
      <c r="R56" s="116"/>
      <c r="S56" s="104"/>
      <c r="T56" s="115"/>
      <c r="U56" s="116"/>
      <c r="V56" s="113">
        <f>SUM(Q56:U56)</f>
        <v>0</v>
      </c>
      <c r="W56" s="114"/>
    </row>
    <row r="57" spans="1:23" ht="13.5" customHeight="1" x14ac:dyDescent="0.25">
      <c r="A57" s="14">
        <v>2</v>
      </c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8"/>
      <c r="P57" s="139"/>
      <c r="Q57" s="115"/>
      <c r="R57" s="116"/>
      <c r="S57" s="104"/>
      <c r="T57" s="115"/>
      <c r="U57" s="116"/>
      <c r="V57" s="113">
        <f>SUM(Q57:U57)</f>
        <v>0</v>
      </c>
      <c r="W57" s="114"/>
    </row>
    <row r="58" spans="1:23" ht="13.5" customHeight="1" x14ac:dyDescent="0.25">
      <c r="A58" s="14">
        <v>3</v>
      </c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8"/>
      <c r="P58" s="139"/>
      <c r="Q58" s="115"/>
      <c r="R58" s="116"/>
      <c r="S58" s="104"/>
      <c r="T58" s="115"/>
      <c r="U58" s="116"/>
      <c r="V58" s="113">
        <f>SUM(Q58:U58)</f>
        <v>0</v>
      </c>
      <c r="W58" s="114"/>
    </row>
    <row r="59" spans="1:23" ht="13.5" customHeight="1" x14ac:dyDescent="0.25">
      <c r="A59" s="14">
        <v>4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8"/>
      <c r="P59" s="139"/>
      <c r="Q59" s="115"/>
      <c r="R59" s="116"/>
      <c r="S59" s="104"/>
      <c r="T59" s="115"/>
      <c r="U59" s="116"/>
      <c r="V59" s="113">
        <f>SUM(Q59:U59)</f>
        <v>0</v>
      </c>
      <c r="W59" s="114"/>
    </row>
    <row r="60" spans="1:23" ht="12.75" customHeight="1" x14ac:dyDescent="0.25">
      <c r="A60" s="91"/>
      <c r="B60" s="94"/>
      <c r="C60" s="94"/>
      <c r="D60" s="91"/>
      <c r="E60" s="91"/>
      <c r="F60" s="91"/>
      <c r="G60" s="91"/>
      <c r="H60" s="91"/>
      <c r="I60" s="91"/>
      <c r="J60" s="91"/>
      <c r="K60" s="73"/>
      <c r="L60" s="73"/>
      <c r="M60" s="73"/>
      <c r="N60" s="73"/>
      <c r="O60" s="73"/>
      <c r="P60" s="73"/>
      <c r="Q60" s="73"/>
      <c r="R60" s="73"/>
      <c r="S60" s="65"/>
      <c r="T60" s="87"/>
      <c r="U60" s="87" t="s">
        <v>36</v>
      </c>
      <c r="V60" s="128">
        <f>SUM(V56:W59)</f>
        <v>0</v>
      </c>
      <c r="W60" s="130"/>
    </row>
    <row r="61" spans="1:23" ht="6" customHeight="1" thickBot="1" x14ac:dyDescent="0.3">
      <c r="K61" s="66"/>
      <c r="L61" s="66"/>
      <c r="M61" s="67"/>
      <c r="N61" s="67"/>
      <c r="T61" s="87"/>
      <c r="U61" s="87"/>
    </row>
    <row r="62" spans="1:23" ht="12.75" customHeight="1" x14ac:dyDescent="0.25">
      <c r="A62" s="152" t="s">
        <v>37</v>
      </c>
      <c r="B62" s="152"/>
      <c r="C62" s="152"/>
      <c r="D62" s="152"/>
      <c r="E62" s="152"/>
      <c r="F62" s="152"/>
      <c r="G62" s="152"/>
      <c r="H62" s="152"/>
      <c r="I62" s="152"/>
      <c r="J62" s="152"/>
      <c r="K62" s="153"/>
      <c r="M62" s="108" t="s">
        <v>38</v>
      </c>
      <c r="N62" s="109"/>
      <c r="O62" s="109"/>
      <c r="P62" s="109"/>
      <c r="Q62" s="109"/>
      <c r="R62" s="109"/>
      <c r="S62" s="109"/>
      <c r="T62" s="109"/>
      <c r="U62" s="109"/>
      <c r="V62" s="109"/>
      <c r="W62" s="109"/>
    </row>
    <row r="63" spans="1:23" ht="10.5" customHeight="1" x14ac:dyDescent="0.25">
      <c r="A63" s="146" t="s">
        <v>39</v>
      </c>
      <c r="B63" s="146"/>
      <c r="C63" s="150"/>
      <c r="D63" s="147" t="s">
        <v>40</v>
      </c>
      <c r="E63" s="148"/>
      <c r="F63" s="148"/>
      <c r="G63" s="149"/>
      <c r="H63" s="147" t="s">
        <v>41</v>
      </c>
      <c r="I63" s="148"/>
      <c r="J63" s="148"/>
      <c r="K63" s="149"/>
      <c r="M63" s="147" t="s">
        <v>42</v>
      </c>
      <c r="N63" s="148"/>
      <c r="O63" s="148"/>
      <c r="P63" s="149"/>
      <c r="Q63" s="145" t="s">
        <v>36</v>
      </c>
      <c r="R63" s="146"/>
      <c r="S63" s="150"/>
      <c r="T63" s="147" t="s">
        <v>43</v>
      </c>
      <c r="U63" s="148"/>
      <c r="V63" s="148"/>
      <c r="W63" s="148"/>
    </row>
    <row r="64" spans="1:23" ht="13.5" customHeight="1" x14ac:dyDescent="0.25">
      <c r="A64" s="159"/>
      <c r="B64" s="159"/>
      <c r="C64" s="160"/>
      <c r="D64" s="161">
        <f>($S$18*$Q$14)+S51</f>
        <v>0</v>
      </c>
      <c r="E64" s="162"/>
      <c r="F64" s="162"/>
      <c r="G64" s="163"/>
      <c r="H64" s="161" t="str">
        <f>IF(A64="","",A64+D64)</f>
        <v/>
      </c>
      <c r="I64" s="162"/>
      <c r="J64" s="162"/>
      <c r="K64" s="163"/>
      <c r="M64" s="168">
        <f>$V$51+$S$24</f>
        <v>0</v>
      </c>
      <c r="N64" s="169"/>
      <c r="O64" s="169"/>
      <c r="P64" s="170"/>
      <c r="Q64" s="165">
        <f>V60</f>
        <v>0</v>
      </c>
      <c r="R64" s="166"/>
      <c r="S64" s="167"/>
      <c r="T64" s="168">
        <f>SUM(M64:S64)</f>
        <v>0</v>
      </c>
      <c r="U64" s="169"/>
      <c r="V64" s="169"/>
      <c r="W64" s="169"/>
    </row>
    <row r="65" spans="1:23" ht="6" customHeight="1" thickBot="1" x14ac:dyDescent="0.3">
      <c r="B65" s="63"/>
      <c r="C65" s="12"/>
      <c r="D65" s="12"/>
      <c r="E65" s="64"/>
      <c r="F65" s="64"/>
      <c r="G65" s="64"/>
      <c r="H65" s="65"/>
      <c r="I65" s="65"/>
      <c r="J65" s="65"/>
      <c r="K65" s="66"/>
      <c r="L65" s="66"/>
      <c r="M65" s="67"/>
      <c r="N65" s="67"/>
      <c r="O65" s="67"/>
      <c r="P65" s="67"/>
      <c r="Q65" s="67"/>
      <c r="R65" s="68"/>
      <c r="S65" s="69"/>
      <c r="T65" s="70"/>
      <c r="U65" s="70"/>
      <c r="V65" s="71"/>
      <c r="W65" s="71"/>
    </row>
    <row r="66" spans="1:23" ht="12.75" customHeight="1" x14ac:dyDescent="0.25">
      <c r="A66" s="164" t="s">
        <v>44</v>
      </c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</row>
    <row r="67" spans="1:23" ht="10.5" customHeight="1" x14ac:dyDescent="0.25">
      <c r="A67" s="148" t="s">
        <v>45</v>
      </c>
      <c r="B67" s="148"/>
      <c r="C67" s="148"/>
      <c r="D67" s="148"/>
      <c r="E67" s="148"/>
      <c r="F67" s="148"/>
      <c r="G67" s="148"/>
      <c r="H67" s="148"/>
      <c r="I67" s="149"/>
      <c r="J67" s="145" t="s">
        <v>21</v>
      </c>
      <c r="K67" s="146"/>
      <c r="L67" s="150"/>
      <c r="M67" s="147" t="s">
        <v>46</v>
      </c>
      <c r="N67" s="148"/>
      <c r="O67" s="148"/>
      <c r="P67" s="148"/>
      <c r="Q67" s="148"/>
      <c r="R67" s="148"/>
      <c r="S67" s="148"/>
      <c r="T67" s="149"/>
      <c r="U67" s="145" t="s">
        <v>21</v>
      </c>
      <c r="V67" s="146"/>
      <c r="W67" s="146"/>
    </row>
    <row r="68" spans="1:23" ht="13.5" customHeight="1" x14ac:dyDescent="0.25">
      <c r="A68" s="154"/>
      <c r="B68" s="154"/>
      <c r="C68" s="154"/>
      <c r="D68" s="154"/>
      <c r="E68" s="154"/>
      <c r="F68" s="154"/>
      <c r="G68" s="154"/>
      <c r="H68" s="154"/>
      <c r="I68" s="155"/>
      <c r="J68" s="156"/>
      <c r="K68" s="157"/>
      <c r="L68" s="158"/>
      <c r="M68" s="171"/>
      <c r="N68" s="154"/>
      <c r="O68" s="154"/>
      <c r="P68" s="154"/>
      <c r="Q68" s="154"/>
      <c r="R68" s="154"/>
      <c r="S68" s="154"/>
      <c r="T68" s="155"/>
      <c r="U68" s="156"/>
      <c r="V68" s="157"/>
      <c r="W68" s="157"/>
    </row>
    <row r="69" spans="1:23" ht="10.5" customHeight="1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72" t="s">
        <v>47</v>
      </c>
    </row>
    <row r="70" spans="1:23" s="35" customFormat="1" ht="12.75" hidden="1" customHeight="1" x14ac:dyDescent="0.25"/>
    <row r="71" spans="1:23" ht="12.75" hidden="1" customHeight="1" x14ac:dyDescent="0.25"/>
  </sheetData>
  <sheetProtection algorithmName="SHA-512" hashValue="cwGeZ8eN+Gs+eTHHLD/bsdIitMJIz2FXv2tBvqy0nO7fjZmuozHXv3JsWpXLOdmnGbCdy89Ia77bpVrHWTzoMQ==" saltValue="tu0W8VLSLqFrBPl1OjjQhA==" spinCount="100000" sheet="1" selectLockedCells="1"/>
  <mergeCells count="220">
    <mergeCell ref="A54:A55"/>
    <mergeCell ref="C49:G49"/>
    <mergeCell ref="H49:L49"/>
    <mergeCell ref="C43:G43"/>
    <mergeCell ref="H43:L43"/>
    <mergeCell ref="T45:U45"/>
    <mergeCell ref="T55:U55"/>
    <mergeCell ref="C44:G44"/>
    <mergeCell ref="H44:L44"/>
    <mergeCell ref="M44:R44"/>
    <mergeCell ref="A49:B49"/>
    <mergeCell ref="H48:L48"/>
    <mergeCell ref="M49:R49"/>
    <mergeCell ref="O54:P55"/>
    <mergeCell ref="V40:W40"/>
    <mergeCell ref="M41:R41"/>
    <mergeCell ref="A30:B30"/>
    <mergeCell ref="A37:B37"/>
    <mergeCell ref="A39:B39"/>
    <mergeCell ref="A40:B40"/>
    <mergeCell ref="C37:G37"/>
    <mergeCell ref="V41:W41"/>
    <mergeCell ref="A38:B38"/>
    <mergeCell ref="C38:G38"/>
    <mergeCell ref="M34:R34"/>
    <mergeCell ref="M35:R35"/>
    <mergeCell ref="H35:L35"/>
    <mergeCell ref="C33:G33"/>
    <mergeCell ref="H33:L33"/>
    <mergeCell ref="M33:R33"/>
    <mergeCell ref="M38:R38"/>
    <mergeCell ref="V38:W38"/>
    <mergeCell ref="A41:B41"/>
    <mergeCell ref="C41:G41"/>
    <mergeCell ref="H37:L37"/>
    <mergeCell ref="M37:R37"/>
    <mergeCell ref="C40:G40"/>
    <mergeCell ref="H41:L41"/>
    <mergeCell ref="A1:D8"/>
    <mergeCell ref="C30:G30"/>
    <mergeCell ref="H30:L30"/>
    <mergeCell ref="M30:R30"/>
    <mergeCell ref="C15:R15"/>
    <mergeCell ref="S15:W15"/>
    <mergeCell ref="M39:R39"/>
    <mergeCell ref="A10:W10"/>
    <mergeCell ref="H38:L38"/>
    <mergeCell ref="Q13:S13"/>
    <mergeCell ref="T13:W13"/>
    <mergeCell ref="A14:P14"/>
    <mergeCell ref="Q14:S14"/>
    <mergeCell ref="T14:W14"/>
    <mergeCell ref="V37:W37"/>
    <mergeCell ref="V39:W39"/>
    <mergeCell ref="T5:W5"/>
    <mergeCell ref="T6:W6"/>
    <mergeCell ref="E5:S5"/>
    <mergeCell ref="E6:S6"/>
    <mergeCell ref="A15:B15"/>
    <mergeCell ref="A12:L12"/>
    <mergeCell ref="M12:W12"/>
    <mergeCell ref="A13:P13"/>
    <mergeCell ref="T30:U30"/>
    <mergeCell ref="T31:U31"/>
    <mergeCell ref="C31:G31"/>
    <mergeCell ref="H31:L31"/>
    <mergeCell ref="M31:R31"/>
    <mergeCell ref="T34:U34"/>
    <mergeCell ref="T35:U35"/>
    <mergeCell ref="T37:U37"/>
    <mergeCell ref="T39:U39"/>
    <mergeCell ref="T38:U38"/>
    <mergeCell ref="A11:L11"/>
    <mergeCell ref="V30:W30"/>
    <mergeCell ref="M11:W11"/>
    <mergeCell ref="E1:W1"/>
    <mergeCell ref="E2:W2"/>
    <mergeCell ref="E3:N3"/>
    <mergeCell ref="O3:S3"/>
    <mergeCell ref="T3:W3"/>
    <mergeCell ref="E4:N4"/>
    <mergeCell ref="O4:S4"/>
    <mergeCell ref="T4:W4"/>
    <mergeCell ref="A16:B18"/>
    <mergeCell ref="S16:W16"/>
    <mergeCell ref="S18:W18"/>
    <mergeCell ref="A20:B22"/>
    <mergeCell ref="S20:W22"/>
    <mergeCell ref="A24:B26"/>
    <mergeCell ref="S24:W26"/>
    <mergeCell ref="V27:W27"/>
    <mergeCell ref="A29:W29"/>
    <mergeCell ref="E7:N7"/>
    <mergeCell ref="O7:W7"/>
    <mergeCell ref="E8:N8"/>
    <mergeCell ref="O8:W8"/>
    <mergeCell ref="A68:I68"/>
    <mergeCell ref="J68:L68"/>
    <mergeCell ref="A64:C64"/>
    <mergeCell ref="D64:G64"/>
    <mergeCell ref="H64:K64"/>
    <mergeCell ref="A66:W66"/>
    <mergeCell ref="Q64:S64"/>
    <mergeCell ref="T64:W64"/>
    <mergeCell ref="M64:P64"/>
    <mergeCell ref="A67:I67"/>
    <mergeCell ref="J67:L67"/>
    <mergeCell ref="U68:W68"/>
    <mergeCell ref="M68:T68"/>
    <mergeCell ref="V49:W49"/>
    <mergeCell ref="U67:W67"/>
    <mergeCell ref="M67:T67"/>
    <mergeCell ref="T49:U49"/>
    <mergeCell ref="T51:U51"/>
    <mergeCell ref="V51:W51"/>
    <mergeCell ref="Q63:S63"/>
    <mergeCell ref="T63:W63"/>
    <mergeCell ref="V56:W56"/>
    <mergeCell ref="V57:W57"/>
    <mergeCell ref="V58:W58"/>
    <mergeCell ref="V60:W60"/>
    <mergeCell ref="V59:W59"/>
    <mergeCell ref="T56:U56"/>
    <mergeCell ref="T57:U57"/>
    <mergeCell ref="T58:U58"/>
    <mergeCell ref="T59:U59"/>
    <mergeCell ref="A53:W53"/>
    <mergeCell ref="A63:C63"/>
    <mergeCell ref="D63:G63"/>
    <mergeCell ref="H63:K63"/>
    <mergeCell ref="A62:K62"/>
    <mergeCell ref="M63:P63"/>
    <mergeCell ref="V54:W55"/>
    <mergeCell ref="V48:W48"/>
    <mergeCell ref="T50:U50"/>
    <mergeCell ref="V50:W50"/>
    <mergeCell ref="T48:U48"/>
    <mergeCell ref="B59:E59"/>
    <mergeCell ref="B54:E55"/>
    <mergeCell ref="F54:N55"/>
    <mergeCell ref="O57:P57"/>
    <mergeCell ref="Q57:R57"/>
    <mergeCell ref="F56:N56"/>
    <mergeCell ref="F57:N57"/>
    <mergeCell ref="B56:E56"/>
    <mergeCell ref="B57:E57"/>
    <mergeCell ref="O58:P58"/>
    <mergeCell ref="Q58:R58"/>
    <mergeCell ref="F58:N58"/>
    <mergeCell ref="F59:N59"/>
    <mergeCell ref="B58:E58"/>
    <mergeCell ref="Q55:R55"/>
    <mergeCell ref="O56:P56"/>
    <mergeCell ref="O59:P59"/>
    <mergeCell ref="Q59:R59"/>
    <mergeCell ref="Q56:R56"/>
    <mergeCell ref="Q54:U54"/>
    <mergeCell ref="M40:R40"/>
    <mergeCell ref="C39:G39"/>
    <mergeCell ref="H39:L39"/>
    <mergeCell ref="T40:U40"/>
    <mergeCell ref="T41:U41"/>
    <mergeCell ref="M48:R48"/>
    <mergeCell ref="A48:B48"/>
    <mergeCell ref="C45:G45"/>
    <mergeCell ref="H45:L45"/>
    <mergeCell ref="M45:R45"/>
    <mergeCell ref="C48:G48"/>
    <mergeCell ref="M43:R43"/>
    <mergeCell ref="H40:L40"/>
    <mergeCell ref="T44:U44"/>
    <mergeCell ref="T43:U43"/>
    <mergeCell ref="V42:W42"/>
    <mergeCell ref="A47:B47"/>
    <mergeCell ref="C47:G47"/>
    <mergeCell ref="H47:L47"/>
    <mergeCell ref="M47:R47"/>
    <mergeCell ref="T47:U47"/>
    <mergeCell ref="V47:W47"/>
    <mergeCell ref="A43:B43"/>
    <mergeCell ref="A44:B44"/>
    <mergeCell ref="A45:B45"/>
    <mergeCell ref="V45:W45"/>
    <mergeCell ref="A46:B46"/>
    <mergeCell ref="C46:G46"/>
    <mergeCell ref="H46:L46"/>
    <mergeCell ref="M46:R46"/>
    <mergeCell ref="T46:U46"/>
    <mergeCell ref="V46:W46"/>
    <mergeCell ref="T42:U42"/>
    <mergeCell ref="A42:B42"/>
    <mergeCell ref="C42:G42"/>
    <mergeCell ref="H42:L42"/>
    <mergeCell ref="M42:R42"/>
    <mergeCell ref="V43:W43"/>
    <mergeCell ref="V44:W44"/>
    <mergeCell ref="V31:W31"/>
    <mergeCell ref="V32:W32"/>
    <mergeCell ref="V33:W33"/>
    <mergeCell ref="T32:U32"/>
    <mergeCell ref="T33:U33"/>
    <mergeCell ref="A36:B36"/>
    <mergeCell ref="C36:G36"/>
    <mergeCell ref="H36:L36"/>
    <mergeCell ref="M36:R36"/>
    <mergeCell ref="T36:U36"/>
    <mergeCell ref="V36:W36"/>
    <mergeCell ref="A35:B35"/>
    <mergeCell ref="A31:B31"/>
    <mergeCell ref="A32:B32"/>
    <mergeCell ref="A33:B33"/>
    <mergeCell ref="A34:B34"/>
    <mergeCell ref="V34:W34"/>
    <mergeCell ref="V35:W35"/>
    <mergeCell ref="C35:G35"/>
    <mergeCell ref="C32:G32"/>
    <mergeCell ref="H32:L32"/>
    <mergeCell ref="M32:R32"/>
    <mergeCell ref="C34:G34"/>
    <mergeCell ref="H34:L34"/>
  </mergeCells>
  <conditionalFormatting sqref="C31:S49 C50:Q50">
    <cfRule type="expression" dxfId="4" priority="5">
      <formula>ISBLANK($C31)</formula>
    </cfRule>
    <cfRule type="expression" dxfId="3" priority="6">
      <formula>$C31-$H31&gt;0</formula>
    </cfRule>
  </conditionalFormatting>
  <conditionalFormatting sqref="T4:W4">
    <cfRule type="containsBlanks" dxfId="2" priority="1">
      <formula>LEN(TRIM(T4))=0</formula>
    </cfRule>
  </conditionalFormatting>
  <dataValidations xWindow="364" yWindow="591" count="3">
    <dataValidation type="decimal" allowBlank="1" showInputMessage="1" showErrorMessage="1" error="Please enter a valid number." sqref="T4:W4" xr:uid="{3270326C-25F9-4FEE-93D8-F4EA6D57A0D6}">
      <formula1>0.000001</formula1>
      <formula2>999999.99</formula2>
    </dataValidation>
    <dataValidation type="decimal" allowBlank="1" showInputMessage="1" showErrorMessage="1" error="Please enter a valid number." sqref="Q56:U59 Q14:W14 S31:U49 A64:C64" xr:uid="{AED003FA-2B36-4392-92D1-A74D3B62D066}">
      <formula1>-999999.99</formula1>
      <formula2>999999.99</formula2>
    </dataValidation>
    <dataValidation type="custom" allowBlank="1" showInputMessage="1" showErrorMessage="1" error="Example: 4234567 or 4058888" sqref="O56:P59 T6:W6" xr:uid="{97D2AC60-9EE3-4916-991C-D3E4664381FD}">
      <formula1>AND(INT(O6)=O6, LEN(O6)=7)</formula1>
    </dataValidation>
  </dataValidations>
  <printOptions horizontalCentered="1" verticalCentered="1"/>
  <pageMargins left="0.25" right="0.25" top="0.2" bottom="0.2" header="0" footer="0"/>
  <pageSetup scale="97" orientation="portrait" r:id="rId1"/>
  <ignoredErrors>
    <ignoredError sqref="V56:V59" formulaRange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75" r:id="rId4" name="Check Box 451">
              <controlPr defaultSize="0" autoFill="0" autoLine="0" autoPict="0">
                <anchor moveWithCells="1" sizeWithCells="1">
                  <from>
                    <xdr:col>3</xdr:col>
                    <xdr:colOff>12700</xdr:colOff>
                    <xdr:row>14</xdr:row>
                    <xdr:rowOff>152400</xdr:rowOff>
                  </from>
                  <to>
                    <xdr:col>3</xdr:col>
                    <xdr:colOff>298450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5" name="Check Box 452">
              <controlPr defaultSize="0" autoFill="0" autoLine="0" autoPict="0">
                <anchor moveWithCells="1" sizeWithCells="1">
                  <from>
                    <xdr:col>4</xdr:col>
                    <xdr:colOff>12700</xdr:colOff>
                    <xdr:row>14</xdr:row>
                    <xdr:rowOff>165100</xdr:rowOff>
                  </from>
                  <to>
                    <xdr:col>4</xdr:col>
                    <xdr:colOff>298450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6" name="Check Box 453">
              <controlPr defaultSize="0" autoFill="0" autoLine="0" autoPict="0">
                <anchor moveWithCells="1" sizeWithCells="1">
                  <from>
                    <xdr:col>5</xdr:col>
                    <xdr:colOff>12700</xdr:colOff>
                    <xdr:row>14</xdr:row>
                    <xdr:rowOff>165100</xdr:rowOff>
                  </from>
                  <to>
                    <xdr:col>5</xdr:col>
                    <xdr:colOff>298450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7" name="Check Box 454">
              <controlPr defaultSize="0" autoFill="0" autoLine="0" autoPict="0">
                <anchor moveWithCells="1" sizeWithCells="1">
                  <from>
                    <xdr:col>6</xdr:col>
                    <xdr:colOff>12700</xdr:colOff>
                    <xdr:row>14</xdr:row>
                    <xdr:rowOff>165100</xdr:rowOff>
                  </from>
                  <to>
                    <xdr:col>7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8" name="Check Box 455">
              <controlPr defaultSize="0" autoFill="0" autoLine="0" autoPict="0">
                <anchor moveWithCells="1" sizeWithCells="1">
                  <from>
                    <xdr:col>7</xdr:col>
                    <xdr:colOff>12700</xdr:colOff>
                    <xdr:row>14</xdr:row>
                    <xdr:rowOff>165100</xdr:rowOff>
                  </from>
                  <to>
                    <xdr:col>8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9" name="Check Box 456">
              <controlPr defaultSize="0" autoFill="0" autoLine="0" autoPict="0">
                <anchor moveWithCells="1" sizeWithCells="1">
                  <from>
                    <xdr:col>8</xdr:col>
                    <xdr:colOff>12700</xdr:colOff>
                    <xdr:row>14</xdr:row>
                    <xdr:rowOff>165100</xdr:rowOff>
                  </from>
                  <to>
                    <xdr:col>8</xdr:col>
                    <xdr:colOff>298450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10" name="Check Box 457">
              <controlPr defaultSize="0" autoFill="0" autoLine="0" autoPict="0">
                <anchor moveWithCells="1" sizeWithCells="1">
                  <from>
                    <xdr:col>3</xdr:col>
                    <xdr:colOff>12700</xdr:colOff>
                    <xdr:row>16</xdr:row>
                    <xdr:rowOff>0</xdr:rowOff>
                  </from>
                  <to>
                    <xdr:col>3</xdr:col>
                    <xdr:colOff>292100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11" name="Check Box 458">
              <controlPr defaultSize="0" autoFill="0" autoLine="0" autoPict="0">
                <anchor moveWithCells="1" sizeWithCells="1">
                  <from>
                    <xdr:col>4</xdr:col>
                    <xdr:colOff>12700</xdr:colOff>
                    <xdr:row>16</xdr:row>
                    <xdr:rowOff>0</xdr:rowOff>
                  </from>
                  <to>
                    <xdr:col>4</xdr:col>
                    <xdr:colOff>298450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12" name="Check Box 459">
              <controlPr defaultSize="0" autoFill="0" autoLine="0" autoPict="0">
                <anchor moveWithCells="1" sizeWithCells="1">
                  <from>
                    <xdr:col>5</xdr:col>
                    <xdr:colOff>12700</xdr:colOff>
                    <xdr:row>16</xdr:row>
                    <xdr:rowOff>0</xdr:rowOff>
                  </from>
                  <to>
                    <xdr:col>5</xdr:col>
                    <xdr:colOff>298450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13" name="Check Box 460">
              <controlPr defaultSize="0" autoFill="0" autoLine="0" autoPict="0">
                <anchor moveWithCells="1" sizeWithCells="1">
                  <from>
                    <xdr:col>6</xdr:col>
                    <xdr:colOff>12700</xdr:colOff>
                    <xdr:row>16</xdr:row>
                    <xdr:rowOff>0</xdr:rowOff>
                  </from>
                  <to>
                    <xdr:col>7</xdr:col>
                    <xdr:colOff>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14" name="Check Box 461">
              <controlPr defaultSize="0" autoFill="0" autoLine="0" autoPict="0">
                <anchor moveWithCells="1" sizeWithCells="1">
                  <from>
                    <xdr:col>7</xdr:col>
                    <xdr:colOff>12700</xdr:colOff>
                    <xdr:row>16</xdr:row>
                    <xdr:rowOff>0</xdr:rowOff>
                  </from>
                  <to>
                    <xdr:col>8</xdr:col>
                    <xdr:colOff>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15" name="Check Box 462">
              <controlPr defaultSize="0" autoFill="0" autoLine="0" autoPict="0">
                <anchor moveWithCells="1" sizeWithCells="1">
                  <from>
                    <xdr:col>8</xdr:col>
                    <xdr:colOff>12700</xdr:colOff>
                    <xdr:row>16</xdr:row>
                    <xdr:rowOff>0</xdr:rowOff>
                  </from>
                  <to>
                    <xdr:col>8</xdr:col>
                    <xdr:colOff>298450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16" name="Check Box 463">
              <controlPr defaultSize="0" autoFill="0" autoLine="0" autoPict="0">
                <anchor moveWithCells="1" sizeWithCells="1">
                  <from>
                    <xdr:col>3</xdr:col>
                    <xdr:colOff>12700</xdr:colOff>
                    <xdr:row>19</xdr:row>
                    <xdr:rowOff>12700</xdr:rowOff>
                  </from>
                  <to>
                    <xdr:col>3</xdr:col>
                    <xdr:colOff>292100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17" name="Check Box 464">
              <controlPr defaultSize="0" autoFill="0" autoLine="0" autoPict="0">
                <anchor moveWithCells="1" sizeWithCells="1">
                  <from>
                    <xdr:col>4</xdr:col>
                    <xdr:colOff>12700</xdr:colOff>
                    <xdr:row>19</xdr:row>
                    <xdr:rowOff>12700</xdr:rowOff>
                  </from>
                  <to>
                    <xdr:col>4</xdr:col>
                    <xdr:colOff>298450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18" name="Check Box 465">
              <controlPr defaultSize="0" autoFill="0" autoLine="0" autoPict="0">
                <anchor moveWithCells="1" sizeWithCells="1">
                  <from>
                    <xdr:col>5</xdr:col>
                    <xdr:colOff>12700</xdr:colOff>
                    <xdr:row>19</xdr:row>
                    <xdr:rowOff>12700</xdr:rowOff>
                  </from>
                  <to>
                    <xdr:col>5</xdr:col>
                    <xdr:colOff>298450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19" name="Check Box 466">
              <controlPr defaultSize="0" autoFill="0" autoLine="0" autoPict="0">
                <anchor moveWithCells="1" sizeWithCells="1">
                  <from>
                    <xdr:col>6</xdr:col>
                    <xdr:colOff>12700</xdr:colOff>
                    <xdr:row>19</xdr:row>
                    <xdr:rowOff>12700</xdr:rowOff>
                  </from>
                  <to>
                    <xdr:col>7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20" name="Check Box 467">
              <controlPr defaultSize="0" autoFill="0" autoLine="0" autoPict="0">
                <anchor moveWithCells="1" sizeWithCells="1">
                  <from>
                    <xdr:col>7</xdr:col>
                    <xdr:colOff>12700</xdr:colOff>
                    <xdr:row>19</xdr:row>
                    <xdr:rowOff>12700</xdr:rowOff>
                  </from>
                  <to>
                    <xdr:col>8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21" name="Check Box 468">
              <controlPr defaultSize="0" autoFill="0" autoLine="0" autoPict="0">
                <anchor moveWithCells="1" sizeWithCells="1">
                  <from>
                    <xdr:col>8</xdr:col>
                    <xdr:colOff>12700</xdr:colOff>
                    <xdr:row>19</xdr:row>
                    <xdr:rowOff>12700</xdr:rowOff>
                  </from>
                  <to>
                    <xdr:col>8</xdr:col>
                    <xdr:colOff>298450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22" name="Check Box 469">
              <controlPr defaultSize="0" autoFill="0" autoLine="0" autoPict="0">
                <anchor moveWithCells="1" sizeWithCells="1">
                  <from>
                    <xdr:col>3</xdr:col>
                    <xdr:colOff>12700</xdr:colOff>
                    <xdr:row>20</xdr:row>
                    <xdr:rowOff>0</xdr:rowOff>
                  </from>
                  <to>
                    <xdr:col>3</xdr:col>
                    <xdr:colOff>292100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23" name="Check Box 470">
              <controlPr defaultSize="0" autoFill="0" autoLine="0" autoPict="0">
                <anchor moveWithCells="1" sizeWithCells="1">
                  <from>
                    <xdr:col>4</xdr:col>
                    <xdr:colOff>12700</xdr:colOff>
                    <xdr:row>20</xdr:row>
                    <xdr:rowOff>0</xdr:rowOff>
                  </from>
                  <to>
                    <xdr:col>4</xdr:col>
                    <xdr:colOff>298450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24" name="Check Box 471">
              <controlPr defaultSize="0" autoFill="0" autoLine="0" autoPict="0">
                <anchor moveWithCells="1" sizeWithCells="1">
                  <from>
                    <xdr:col>5</xdr:col>
                    <xdr:colOff>12700</xdr:colOff>
                    <xdr:row>20</xdr:row>
                    <xdr:rowOff>0</xdr:rowOff>
                  </from>
                  <to>
                    <xdr:col>5</xdr:col>
                    <xdr:colOff>298450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25" name="Check Box 472">
              <controlPr defaultSize="0" autoFill="0" autoLine="0" autoPict="0">
                <anchor moveWithCells="1" sizeWithCells="1">
                  <from>
                    <xdr:col>6</xdr:col>
                    <xdr:colOff>12700</xdr:colOff>
                    <xdr:row>20</xdr:row>
                    <xdr:rowOff>0</xdr:rowOff>
                  </from>
                  <to>
                    <xdr:col>7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26" name="Check Box 473">
              <controlPr defaultSize="0" autoFill="0" autoLine="0" autoPict="0">
                <anchor moveWithCells="1" sizeWithCells="1">
                  <from>
                    <xdr:col>7</xdr:col>
                    <xdr:colOff>12700</xdr:colOff>
                    <xdr:row>20</xdr:row>
                    <xdr:rowOff>0</xdr:rowOff>
                  </from>
                  <to>
                    <xdr:col>8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27" name="Check Box 474">
              <controlPr defaultSize="0" autoFill="0" autoLine="0" autoPict="0">
                <anchor moveWithCells="1" sizeWithCells="1">
                  <from>
                    <xdr:col>8</xdr:col>
                    <xdr:colOff>12700</xdr:colOff>
                    <xdr:row>20</xdr:row>
                    <xdr:rowOff>0</xdr:rowOff>
                  </from>
                  <to>
                    <xdr:col>8</xdr:col>
                    <xdr:colOff>298450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28" name="Check Box 475">
              <controlPr defaultSize="0" autoFill="0" autoLine="0" autoPict="0">
                <anchor moveWithCells="1" sizeWithCells="1">
                  <from>
                    <xdr:col>3</xdr:col>
                    <xdr:colOff>12700</xdr:colOff>
                    <xdr:row>22</xdr:row>
                    <xdr:rowOff>0</xdr:rowOff>
                  </from>
                  <to>
                    <xdr:col>3</xdr:col>
                    <xdr:colOff>292100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29" name="Check Box 476">
              <controlPr defaultSize="0" autoFill="0" autoLine="0" autoPict="0">
                <anchor moveWithCells="1" sizeWithCells="1">
                  <from>
                    <xdr:col>4</xdr:col>
                    <xdr:colOff>12700</xdr:colOff>
                    <xdr:row>22</xdr:row>
                    <xdr:rowOff>0</xdr:rowOff>
                  </from>
                  <to>
                    <xdr:col>4</xdr:col>
                    <xdr:colOff>298450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30" name="Check Box 477">
              <controlPr defaultSize="0" autoFill="0" autoLine="0" autoPict="0">
                <anchor moveWithCells="1" sizeWithCells="1">
                  <from>
                    <xdr:col>5</xdr:col>
                    <xdr:colOff>12700</xdr:colOff>
                    <xdr:row>22</xdr:row>
                    <xdr:rowOff>0</xdr:rowOff>
                  </from>
                  <to>
                    <xdr:col>5</xdr:col>
                    <xdr:colOff>298450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31" name="Check Box 478">
              <controlPr defaultSize="0" autoFill="0" autoLine="0" autoPict="0">
                <anchor moveWithCells="1" sizeWithCells="1">
                  <from>
                    <xdr:col>6</xdr:col>
                    <xdr:colOff>12700</xdr:colOff>
                    <xdr:row>22</xdr:row>
                    <xdr:rowOff>0</xdr:rowOff>
                  </from>
                  <to>
                    <xdr:col>7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32" name="Check Box 479">
              <controlPr defaultSize="0" autoFill="0" autoLine="0" autoPict="0">
                <anchor moveWithCells="1" sizeWithCells="1">
                  <from>
                    <xdr:col>7</xdr:col>
                    <xdr:colOff>12700</xdr:colOff>
                    <xdr:row>22</xdr:row>
                    <xdr:rowOff>0</xdr:rowOff>
                  </from>
                  <to>
                    <xdr:col>8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33" name="Check Box 480">
              <controlPr defaultSize="0" autoFill="0" autoLine="0" autoPict="0">
                <anchor moveWithCells="1" sizeWithCells="1">
                  <from>
                    <xdr:col>8</xdr:col>
                    <xdr:colOff>12700</xdr:colOff>
                    <xdr:row>22</xdr:row>
                    <xdr:rowOff>0</xdr:rowOff>
                  </from>
                  <to>
                    <xdr:col>8</xdr:col>
                    <xdr:colOff>298450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34" name="Check Box 481">
              <controlPr defaultSize="0" autoFill="0" autoLine="0" autoPict="0">
                <anchor moveWithCells="1" sizeWithCells="1">
                  <from>
                    <xdr:col>3</xdr:col>
                    <xdr:colOff>12700</xdr:colOff>
                    <xdr:row>24</xdr:row>
                    <xdr:rowOff>0</xdr:rowOff>
                  </from>
                  <to>
                    <xdr:col>3</xdr:col>
                    <xdr:colOff>292100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35" name="Check Box 482">
              <controlPr defaultSize="0" autoFill="0" autoLine="0" autoPict="0">
                <anchor moveWithCells="1" sizeWithCells="1">
                  <from>
                    <xdr:col>4</xdr:col>
                    <xdr:colOff>12700</xdr:colOff>
                    <xdr:row>24</xdr:row>
                    <xdr:rowOff>0</xdr:rowOff>
                  </from>
                  <to>
                    <xdr:col>4</xdr:col>
                    <xdr:colOff>298450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36" name="Check Box 483">
              <controlPr defaultSize="0" autoFill="0" autoLine="0" autoPict="0">
                <anchor moveWithCells="1" sizeWithCells="1">
                  <from>
                    <xdr:col>5</xdr:col>
                    <xdr:colOff>12700</xdr:colOff>
                    <xdr:row>24</xdr:row>
                    <xdr:rowOff>0</xdr:rowOff>
                  </from>
                  <to>
                    <xdr:col>5</xdr:col>
                    <xdr:colOff>298450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37" name="Check Box 484">
              <controlPr defaultSize="0" autoFill="0" autoLine="0" autoPict="0">
                <anchor moveWithCells="1" sizeWithCells="1">
                  <from>
                    <xdr:col>6</xdr:col>
                    <xdr:colOff>12700</xdr:colOff>
                    <xdr:row>24</xdr:row>
                    <xdr:rowOff>0</xdr:rowOff>
                  </from>
                  <to>
                    <xdr:col>7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38" name="Check Box 485">
              <controlPr defaultSize="0" autoFill="0" autoLine="0" autoPict="0">
                <anchor moveWithCells="1" sizeWithCells="1">
                  <from>
                    <xdr:col>7</xdr:col>
                    <xdr:colOff>12700</xdr:colOff>
                    <xdr:row>24</xdr:row>
                    <xdr:rowOff>0</xdr:rowOff>
                  </from>
                  <to>
                    <xdr:col>8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39" name="Check Box 486">
              <controlPr defaultSize="0" autoFill="0" autoLine="0" autoPict="0">
                <anchor moveWithCells="1" sizeWithCells="1">
                  <from>
                    <xdr:col>8</xdr:col>
                    <xdr:colOff>12700</xdr:colOff>
                    <xdr:row>24</xdr:row>
                    <xdr:rowOff>0</xdr:rowOff>
                  </from>
                  <to>
                    <xdr:col>8</xdr:col>
                    <xdr:colOff>298450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40" name="Check Box 487">
              <controlPr defaultSize="0" autoFill="0" autoLine="0" autoPict="0">
                <anchor moveWithCells="1" sizeWithCells="1">
                  <from>
                    <xdr:col>8</xdr:col>
                    <xdr:colOff>298450</xdr:colOff>
                    <xdr:row>14</xdr:row>
                    <xdr:rowOff>165100</xdr:rowOff>
                  </from>
                  <to>
                    <xdr:col>9</xdr:col>
                    <xdr:colOff>279400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41" name="Check Box 488">
              <controlPr defaultSize="0" autoFill="0" autoLine="0" autoPict="0">
                <anchor moveWithCells="1" sizeWithCells="1">
                  <from>
                    <xdr:col>10</xdr:col>
                    <xdr:colOff>0</xdr:colOff>
                    <xdr:row>14</xdr:row>
                    <xdr:rowOff>165100</xdr:rowOff>
                  </from>
                  <to>
                    <xdr:col>10</xdr:col>
                    <xdr:colOff>279400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42" name="Check Box 489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14</xdr:row>
                    <xdr:rowOff>165100</xdr:rowOff>
                  </from>
                  <to>
                    <xdr:col>11</xdr:col>
                    <xdr:colOff>292100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43" name="Check Box 490">
              <controlPr defaultSize="0" autoFill="0" autoLine="0" autoPict="0">
                <anchor moveWithCells="1" sizeWithCells="1">
                  <from>
                    <xdr:col>11</xdr:col>
                    <xdr:colOff>298450</xdr:colOff>
                    <xdr:row>14</xdr:row>
                    <xdr:rowOff>165100</xdr:rowOff>
                  </from>
                  <to>
                    <xdr:col>12</xdr:col>
                    <xdr:colOff>279400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44" name="Check Box 491">
              <controlPr defaultSize="0" autoFill="0" autoLine="0" autoPict="0">
                <anchor moveWithCells="1" sizeWithCells="1">
                  <from>
                    <xdr:col>12</xdr:col>
                    <xdr:colOff>298450</xdr:colOff>
                    <xdr:row>14</xdr:row>
                    <xdr:rowOff>165100</xdr:rowOff>
                  </from>
                  <to>
                    <xdr:col>13</xdr:col>
                    <xdr:colOff>292100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45" name="Check Box 492">
              <controlPr defaultSize="0" autoFill="0" autoLine="0" autoPict="0">
                <anchor moveWithCells="1" sizeWithCells="1">
                  <from>
                    <xdr:col>14</xdr:col>
                    <xdr:colOff>0</xdr:colOff>
                    <xdr:row>14</xdr:row>
                    <xdr:rowOff>152400</xdr:rowOff>
                  </from>
                  <to>
                    <xdr:col>14</xdr:col>
                    <xdr:colOff>279400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46" name="Check Box 493">
              <controlPr defaultSize="0" autoFill="0" autoLine="0" autoPict="0">
                <anchor moveWithCells="1" sizeWithCells="1">
                  <from>
                    <xdr:col>9</xdr:col>
                    <xdr:colOff>0</xdr:colOff>
                    <xdr:row>16</xdr:row>
                    <xdr:rowOff>0</xdr:rowOff>
                  </from>
                  <to>
                    <xdr:col>9</xdr:col>
                    <xdr:colOff>298450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47" name="Check Box 494">
              <controlPr defaultSize="0" autoFill="0" autoLine="0" autoPict="0">
                <anchor moveWithCells="1" sizeWithCells="1">
                  <from>
                    <xdr:col>10</xdr:col>
                    <xdr:colOff>0</xdr:colOff>
                    <xdr:row>16</xdr:row>
                    <xdr:rowOff>0</xdr:rowOff>
                  </from>
                  <to>
                    <xdr:col>10</xdr:col>
                    <xdr:colOff>298450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48" name="Check Box 495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16</xdr:row>
                    <xdr:rowOff>0</xdr:rowOff>
                  </from>
                  <to>
                    <xdr:col>11</xdr:col>
                    <xdr:colOff>292100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49" name="Check Box 496">
              <controlPr defaultSize="0" autoFill="0" autoLine="0" autoPict="0">
                <anchor moveWithCells="1" sizeWithCells="1">
                  <from>
                    <xdr:col>11</xdr:col>
                    <xdr:colOff>298450</xdr:colOff>
                    <xdr:row>16</xdr:row>
                    <xdr:rowOff>0</xdr:rowOff>
                  </from>
                  <to>
                    <xdr:col>12</xdr:col>
                    <xdr:colOff>292100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50" name="Check Box 497">
              <controlPr defaultSize="0" autoFill="0" autoLine="0" autoPict="0">
                <anchor moveWithCells="1" sizeWithCells="1">
                  <from>
                    <xdr:col>12</xdr:col>
                    <xdr:colOff>298450</xdr:colOff>
                    <xdr:row>16</xdr:row>
                    <xdr:rowOff>0</xdr:rowOff>
                  </from>
                  <to>
                    <xdr:col>13</xdr:col>
                    <xdr:colOff>292100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51" name="Check Box 498">
              <controlPr defaultSize="0" autoFill="0" autoLine="0" autoPict="0">
                <anchor moveWithCells="1" sizeWithCells="1">
                  <from>
                    <xdr:col>14</xdr:col>
                    <xdr:colOff>0</xdr:colOff>
                    <xdr:row>16</xdr:row>
                    <xdr:rowOff>0</xdr:rowOff>
                  </from>
                  <to>
                    <xdr:col>14</xdr:col>
                    <xdr:colOff>292100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52" name="Check Box 499">
              <controlPr defaultSize="0" autoFill="0" autoLine="0" autoPict="0">
                <anchor moveWithCells="1" sizeWithCells="1">
                  <from>
                    <xdr:col>9</xdr:col>
                    <xdr:colOff>0</xdr:colOff>
                    <xdr:row>19</xdr:row>
                    <xdr:rowOff>12700</xdr:rowOff>
                  </from>
                  <to>
                    <xdr:col>9</xdr:col>
                    <xdr:colOff>298450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53" name="Check Box 500">
              <controlPr defaultSize="0" autoFill="0" autoLine="0" autoPict="0">
                <anchor moveWithCells="1" sizeWithCells="1">
                  <from>
                    <xdr:col>10</xdr:col>
                    <xdr:colOff>0</xdr:colOff>
                    <xdr:row>19</xdr:row>
                    <xdr:rowOff>12700</xdr:rowOff>
                  </from>
                  <to>
                    <xdr:col>10</xdr:col>
                    <xdr:colOff>298450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54" name="Check Box 501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19</xdr:row>
                    <xdr:rowOff>12700</xdr:rowOff>
                  </from>
                  <to>
                    <xdr:col>11</xdr:col>
                    <xdr:colOff>292100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55" name="Check Box 502">
              <controlPr defaultSize="0" autoFill="0" autoLine="0" autoPict="0">
                <anchor moveWithCells="1" sizeWithCells="1">
                  <from>
                    <xdr:col>11</xdr:col>
                    <xdr:colOff>298450</xdr:colOff>
                    <xdr:row>19</xdr:row>
                    <xdr:rowOff>12700</xdr:rowOff>
                  </from>
                  <to>
                    <xdr:col>12</xdr:col>
                    <xdr:colOff>292100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56" name="Check Box 503">
              <controlPr defaultSize="0" autoFill="0" autoLine="0" autoPict="0">
                <anchor moveWithCells="1" sizeWithCells="1">
                  <from>
                    <xdr:col>12</xdr:col>
                    <xdr:colOff>298450</xdr:colOff>
                    <xdr:row>19</xdr:row>
                    <xdr:rowOff>12700</xdr:rowOff>
                  </from>
                  <to>
                    <xdr:col>13</xdr:col>
                    <xdr:colOff>292100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57" name="Check Box 504">
              <controlPr defaultSize="0" autoFill="0" autoLine="0" autoPict="0">
                <anchor moveWithCells="1" sizeWithCells="1">
                  <from>
                    <xdr:col>14</xdr:col>
                    <xdr:colOff>0</xdr:colOff>
                    <xdr:row>19</xdr:row>
                    <xdr:rowOff>12700</xdr:rowOff>
                  </from>
                  <to>
                    <xdr:col>14</xdr:col>
                    <xdr:colOff>292100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58" name="Check Box 505">
              <controlPr defaultSize="0" autoFill="0" autoLine="0" autoPict="0">
                <anchor moveWithCells="1" sizeWithCells="1">
                  <from>
                    <xdr:col>9</xdr:col>
                    <xdr:colOff>0</xdr:colOff>
                    <xdr:row>20</xdr:row>
                    <xdr:rowOff>0</xdr:rowOff>
                  </from>
                  <to>
                    <xdr:col>9</xdr:col>
                    <xdr:colOff>298450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59" name="Check Box 506">
              <controlPr defaultSize="0" autoFill="0" autoLine="0" autoPict="0">
                <anchor moveWithCells="1" sizeWithCells="1">
                  <from>
                    <xdr:col>10</xdr:col>
                    <xdr:colOff>0</xdr:colOff>
                    <xdr:row>20</xdr:row>
                    <xdr:rowOff>0</xdr:rowOff>
                  </from>
                  <to>
                    <xdr:col>10</xdr:col>
                    <xdr:colOff>298450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60" name="Check Box 507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20</xdr:row>
                    <xdr:rowOff>0</xdr:rowOff>
                  </from>
                  <to>
                    <xdr:col>11</xdr:col>
                    <xdr:colOff>292100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61" name="Check Box 508">
              <controlPr defaultSize="0" autoFill="0" autoLine="0" autoPict="0">
                <anchor moveWithCells="1" sizeWithCells="1">
                  <from>
                    <xdr:col>11</xdr:col>
                    <xdr:colOff>298450</xdr:colOff>
                    <xdr:row>20</xdr:row>
                    <xdr:rowOff>0</xdr:rowOff>
                  </from>
                  <to>
                    <xdr:col>12</xdr:col>
                    <xdr:colOff>292100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62" name="Check Box 509">
              <controlPr defaultSize="0" autoFill="0" autoLine="0" autoPict="0">
                <anchor moveWithCells="1" sizeWithCells="1">
                  <from>
                    <xdr:col>12</xdr:col>
                    <xdr:colOff>298450</xdr:colOff>
                    <xdr:row>20</xdr:row>
                    <xdr:rowOff>0</xdr:rowOff>
                  </from>
                  <to>
                    <xdr:col>13</xdr:col>
                    <xdr:colOff>292100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63" name="Check Box 510">
              <controlPr defaultSize="0" autoFill="0" autoLine="0" autoPict="0">
                <anchor moveWithCells="1" sizeWithCells="1">
                  <from>
                    <xdr:col>14</xdr:col>
                    <xdr:colOff>0</xdr:colOff>
                    <xdr:row>20</xdr:row>
                    <xdr:rowOff>0</xdr:rowOff>
                  </from>
                  <to>
                    <xdr:col>14</xdr:col>
                    <xdr:colOff>292100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64" name="Check Box 511">
              <controlPr defaultSize="0" autoFill="0" autoLine="0" autoPict="0">
                <anchor moveWithCells="1" sizeWithCells="1">
                  <from>
                    <xdr:col>9</xdr:col>
                    <xdr:colOff>0</xdr:colOff>
                    <xdr:row>22</xdr:row>
                    <xdr:rowOff>0</xdr:rowOff>
                  </from>
                  <to>
                    <xdr:col>9</xdr:col>
                    <xdr:colOff>298450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65" name="Check Box 512">
              <controlPr defaultSize="0" autoFill="0" autoLine="0" autoPict="0">
                <anchor moveWithCells="1" sizeWithCells="1">
                  <from>
                    <xdr:col>10</xdr:col>
                    <xdr:colOff>0</xdr:colOff>
                    <xdr:row>22</xdr:row>
                    <xdr:rowOff>0</xdr:rowOff>
                  </from>
                  <to>
                    <xdr:col>10</xdr:col>
                    <xdr:colOff>298450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66" name="Check Box 513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292100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67" name="Check Box 514">
              <controlPr defaultSize="0" autoFill="0" autoLine="0" autoPict="0">
                <anchor moveWithCells="1" sizeWithCells="1">
                  <from>
                    <xdr:col>11</xdr:col>
                    <xdr:colOff>298450</xdr:colOff>
                    <xdr:row>22</xdr:row>
                    <xdr:rowOff>0</xdr:rowOff>
                  </from>
                  <to>
                    <xdr:col>12</xdr:col>
                    <xdr:colOff>292100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68" name="Check Box 515">
              <controlPr defaultSize="0" autoFill="0" autoLine="0" autoPict="0">
                <anchor moveWithCells="1" sizeWithCells="1">
                  <from>
                    <xdr:col>12</xdr:col>
                    <xdr:colOff>298450</xdr:colOff>
                    <xdr:row>22</xdr:row>
                    <xdr:rowOff>0</xdr:rowOff>
                  </from>
                  <to>
                    <xdr:col>13</xdr:col>
                    <xdr:colOff>292100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69" name="Check Box 516">
              <controlPr defaultSize="0" autoFill="0" autoLine="0" autoPict="0">
                <anchor moveWithCells="1" sizeWithCells="1">
                  <from>
                    <xdr:col>14</xdr:col>
                    <xdr:colOff>0</xdr:colOff>
                    <xdr:row>22</xdr:row>
                    <xdr:rowOff>0</xdr:rowOff>
                  </from>
                  <to>
                    <xdr:col>14</xdr:col>
                    <xdr:colOff>292100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70" name="Check Box 517">
              <controlPr defaultSize="0" autoFill="0" autoLine="0" autoPict="0">
                <anchor moveWithCells="1" sizeWithCells="1">
                  <from>
                    <xdr:col>9</xdr:col>
                    <xdr:colOff>0</xdr:colOff>
                    <xdr:row>24</xdr:row>
                    <xdr:rowOff>0</xdr:rowOff>
                  </from>
                  <to>
                    <xdr:col>9</xdr:col>
                    <xdr:colOff>298450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71" name="Check Box 518">
              <controlPr defaultSize="0" autoFill="0" autoLine="0" autoPict="0">
                <anchor moveWithCells="1" sizeWithCells="1">
                  <from>
                    <xdr:col>10</xdr:col>
                    <xdr:colOff>0</xdr:colOff>
                    <xdr:row>24</xdr:row>
                    <xdr:rowOff>0</xdr:rowOff>
                  </from>
                  <to>
                    <xdr:col>10</xdr:col>
                    <xdr:colOff>298450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72" name="Check Box 519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24</xdr:row>
                    <xdr:rowOff>0</xdr:rowOff>
                  </from>
                  <to>
                    <xdr:col>11</xdr:col>
                    <xdr:colOff>292100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73" name="Check Box 520">
              <controlPr defaultSize="0" autoFill="0" autoLine="0" autoPict="0">
                <anchor moveWithCells="1" sizeWithCells="1">
                  <from>
                    <xdr:col>11</xdr:col>
                    <xdr:colOff>298450</xdr:colOff>
                    <xdr:row>24</xdr:row>
                    <xdr:rowOff>0</xdr:rowOff>
                  </from>
                  <to>
                    <xdr:col>12</xdr:col>
                    <xdr:colOff>292100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74" name="Check Box 521">
              <controlPr defaultSize="0" autoFill="0" autoLine="0" autoPict="0">
                <anchor moveWithCells="1" sizeWithCells="1">
                  <from>
                    <xdr:col>12</xdr:col>
                    <xdr:colOff>298450</xdr:colOff>
                    <xdr:row>24</xdr:row>
                    <xdr:rowOff>0</xdr:rowOff>
                  </from>
                  <to>
                    <xdr:col>13</xdr:col>
                    <xdr:colOff>292100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75" name="Check Box 522">
              <controlPr defaultSize="0" autoFill="0" autoLine="0" autoPict="0">
                <anchor moveWithCells="1" sizeWithCells="1">
                  <from>
                    <xdr:col>14</xdr:col>
                    <xdr:colOff>0</xdr:colOff>
                    <xdr:row>24</xdr:row>
                    <xdr:rowOff>0</xdr:rowOff>
                  </from>
                  <to>
                    <xdr:col>14</xdr:col>
                    <xdr:colOff>292100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76" name="Check Box 523">
              <controlPr defaultSize="0" autoFill="0" autoLine="0" autoPict="0">
                <anchor moveWithCells="1" sizeWithCells="1">
                  <from>
                    <xdr:col>15</xdr:col>
                    <xdr:colOff>12700</xdr:colOff>
                    <xdr:row>14</xdr:row>
                    <xdr:rowOff>152400</xdr:rowOff>
                  </from>
                  <to>
                    <xdr:col>15</xdr:col>
                    <xdr:colOff>292100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77" name="Check Box 524">
              <controlPr defaultSize="0" autoFill="0" autoLine="0" autoPict="0">
                <anchor moveWithCells="1" sizeWithCells="1">
                  <from>
                    <xdr:col>16</xdr:col>
                    <xdr:colOff>0</xdr:colOff>
                    <xdr:row>14</xdr:row>
                    <xdr:rowOff>152400</xdr:rowOff>
                  </from>
                  <to>
                    <xdr:col>16</xdr:col>
                    <xdr:colOff>292100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78" name="Check Box 525">
              <controlPr defaultSize="0" autoFill="0" autoLine="0" autoPict="0">
                <anchor moveWithCells="1" sizeWithCells="1">
                  <from>
                    <xdr:col>16</xdr:col>
                    <xdr:colOff>298450</xdr:colOff>
                    <xdr:row>14</xdr:row>
                    <xdr:rowOff>152400</xdr:rowOff>
                  </from>
                  <to>
                    <xdr:col>17</xdr:col>
                    <xdr:colOff>292100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79" name="Check Box 526">
              <controlPr defaultSize="0" autoFill="0" autoLine="0" autoPict="0">
                <anchor moveWithCells="1" sizeWithCells="1">
                  <from>
                    <xdr:col>15</xdr:col>
                    <xdr:colOff>12700</xdr:colOff>
                    <xdr:row>16</xdr:row>
                    <xdr:rowOff>0</xdr:rowOff>
                  </from>
                  <to>
                    <xdr:col>15</xdr:col>
                    <xdr:colOff>298450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80" name="Check Box 527">
              <controlPr defaultSize="0" autoFill="0" autoLine="0" autoPict="0">
                <anchor moveWithCells="1" sizeWithCells="1">
                  <from>
                    <xdr:col>16</xdr:col>
                    <xdr:colOff>0</xdr:colOff>
                    <xdr:row>16</xdr:row>
                    <xdr:rowOff>0</xdr:rowOff>
                  </from>
                  <to>
                    <xdr:col>16</xdr:col>
                    <xdr:colOff>292100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81" name="Check Box 528">
              <controlPr defaultSize="0" autoFill="0" autoLine="0" autoPict="0">
                <anchor moveWithCells="1" sizeWithCells="1">
                  <from>
                    <xdr:col>15</xdr:col>
                    <xdr:colOff>0</xdr:colOff>
                    <xdr:row>19</xdr:row>
                    <xdr:rowOff>12700</xdr:rowOff>
                  </from>
                  <to>
                    <xdr:col>15</xdr:col>
                    <xdr:colOff>292100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82" name="Check Box 529">
              <controlPr defaultSize="0" autoFill="0" autoLine="0" autoPict="0">
                <anchor moveWithCells="1" sizeWithCells="1">
                  <from>
                    <xdr:col>16</xdr:col>
                    <xdr:colOff>0</xdr:colOff>
                    <xdr:row>19</xdr:row>
                    <xdr:rowOff>12700</xdr:rowOff>
                  </from>
                  <to>
                    <xdr:col>16</xdr:col>
                    <xdr:colOff>292100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83" name="Check Box 530">
              <controlPr defaultSize="0" autoFill="0" autoLine="0" autoPict="0">
                <anchor moveWithCells="1" sizeWithCells="1">
                  <from>
                    <xdr:col>16</xdr:col>
                    <xdr:colOff>298450</xdr:colOff>
                    <xdr:row>19</xdr:row>
                    <xdr:rowOff>12700</xdr:rowOff>
                  </from>
                  <to>
                    <xdr:col>17</xdr:col>
                    <xdr:colOff>292100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84" name="Check Box 531">
              <controlPr defaultSize="0" autoFill="0" autoLine="0" autoPict="0">
                <anchor moveWithCells="1" sizeWithCells="1">
                  <from>
                    <xdr:col>15</xdr:col>
                    <xdr:colOff>0</xdr:colOff>
                    <xdr:row>20</xdr:row>
                    <xdr:rowOff>0</xdr:rowOff>
                  </from>
                  <to>
                    <xdr:col>15</xdr:col>
                    <xdr:colOff>292100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85" name="Check Box 532">
              <controlPr defaultSize="0" autoFill="0" autoLine="0" autoPict="0">
                <anchor moveWithCells="1" sizeWithCells="1">
                  <from>
                    <xdr:col>16</xdr:col>
                    <xdr:colOff>0</xdr:colOff>
                    <xdr:row>20</xdr:row>
                    <xdr:rowOff>0</xdr:rowOff>
                  </from>
                  <to>
                    <xdr:col>16</xdr:col>
                    <xdr:colOff>292100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86" name="Check Box 533">
              <controlPr defaultSize="0" autoFill="0" autoLine="0" autoPict="0">
                <anchor moveWithCells="1" sizeWithCells="1">
                  <from>
                    <xdr:col>15</xdr:col>
                    <xdr:colOff>0</xdr:colOff>
                    <xdr:row>22</xdr:row>
                    <xdr:rowOff>0</xdr:rowOff>
                  </from>
                  <to>
                    <xdr:col>15</xdr:col>
                    <xdr:colOff>292100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87" name="Check Box 534">
              <controlPr defaultSize="0" autoFill="0" autoLine="0" autoPict="0">
                <anchor moveWithCells="1" sizeWithCells="1">
                  <from>
                    <xdr:col>16</xdr:col>
                    <xdr:colOff>0</xdr:colOff>
                    <xdr:row>22</xdr:row>
                    <xdr:rowOff>0</xdr:rowOff>
                  </from>
                  <to>
                    <xdr:col>16</xdr:col>
                    <xdr:colOff>292100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88" name="Check Box 535">
              <controlPr defaultSize="0" autoFill="0" autoLine="0" autoPict="0">
                <anchor moveWithCells="1" sizeWithCells="1">
                  <from>
                    <xdr:col>16</xdr:col>
                    <xdr:colOff>298450</xdr:colOff>
                    <xdr:row>22</xdr:row>
                    <xdr:rowOff>0</xdr:rowOff>
                  </from>
                  <to>
                    <xdr:col>17</xdr:col>
                    <xdr:colOff>292100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89" name="Check Box 536">
              <controlPr defaultSize="0" autoFill="0" autoLine="0" autoPict="0">
                <anchor moveWithCells="1" sizeWithCells="1">
                  <from>
                    <xdr:col>15</xdr:col>
                    <xdr:colOff>0</xdr:colOff>
                    <xdr:row>24</xdr:row>
                    <xdr:rowOff>0</xdr:rowOff>
                  </from>
                  <to>
                    <xdr:col>15</xdr:col>
                    <xdr:colOff>292100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90" name="Check Box 537">
              <controlPr defaultSize="0" autoFill="0" autoLine="0" autoPict="0">
                <anchor moveWithCells="1" sizeWithCells="1">
                  <from>
                    <xdr:col>16</xdr:col>
                    <xdr:colOff>0</xdr:colOff>
                    <xdr:row>24</xdr:row>
                    <xdr:rowOff>0</xdr:rowOff>
                  </from>
                  <to>
                    <xdr:col>16</xdr:col>
                    <xdr:colOff>292100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91" name="Check Box 538">
              <controlPr defaultSize="0" autoFill="0" autoLine="0" autoPict="0">
                <anchor moveWithCells="1" sizeWithCells="1">
                  <from>
                    <xdr:col>1</xdr:col>
                    <xdr:colOff>685800</xdr:colOff>
                    <xdr:row>14</xdr:row>
                    <xdr:rowOff>152400</xdr:rowOff>
                  </from>
                  <to>
                    <xdr:col>2</xdr:col>
                    <xdr:colOff>292100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92" name="Check Box 539">
              <controlPr defaultSize="0" autoFill="0" autoLine="0" autoPict="0">
                <anchor moveWithCells="1" sizeWithCells="1">
                  <from>
                    <xdr:col>1</xdr:col>
                    <xdr:colOff>685800</xdr:colOff>
                    <xdr:row>16</xdr:row>
                    <xdr:rowOff>0</xdr:rowOff>
                  </from>
                  <to>
                    <xdr:col>2</xdr:col>
                    <xdr:colOff>292100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93" name="Check Box 540">
              <controlPr defaultSize="0" autoFill="0" autoLine="0" autoPict="0">
                <anchor moveWithCells="1" sizeWithCells="1">
                  <from>
                    <xdr:col>1</xdr:col>
                    <xdr:colOff>685800</xdr:colOff>
                    <xdr:row>18</xdr:row>
                    <xdr:rowOff>0</xdr:rowOff>
                  </from>
                  <to>
                    <xdr:col>2</xdr:col>
                    <xdr:colOff>292100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94" name="Check Box 541">
              <controlPr defaultSize="0" autoFill="0" autoLine="0" autoPict="0">
                <anchor moveWithCells="1" sizeWithCells="1">
                  <from>
                    <xdr:col>1</xdr:col>
                    <xdr:colOff>685800</xdr:colOff>
                    <xdr:row>20</xdr:row>
                    <xdr:rowOff>0</xdr:rowOff>
                  </from>
                  <to>
                    <xdr:col>2</xdr:col>
                    <xdr:colOff>292100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95" name="Check Box 542">
              <controlPr defaultSize="0" autoFill="0" autoLine="0" autoPict="0">
                <anchor moveWithCells="1" sizeWithCells="1">
                  <from>
                    <xdr:col>1</xdr:col>
                    <xdr:colOff>685800</xdr:colOff>
                    <xdr:row>22</xdr:row>
                    <xdr:rowOff>0</xdr:rowOff>
                  </from>
                  <to>
                    <xdr:col>2</xdr:col>
                    <xdr:colOff>292100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96" name="Check Box 543">
              <controlPr defaultSize="0" autoFill="0" autoLine="0" autoPict="0">
                <anchor moveWithCells="1" sizeWithCells="1">
                  <from>
                    <xdr:col>1</xdr:col>
                    <xdr:colOff>685800</xdr:colOff>
                    <xdr:row>24</xdr:row>
                    <xdr:rowOff>0</xdr:rowOff>
                  </from>
                  <to>
                    <xdr:col>2</xdr:col>
                    <xdr:colOff>292100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  <pageSetUpPr fitToPage="1"/>
  </sheetPr>
  <dimension ref="A1:L40"/>
  <sheetViews>
    <sheetView showZeros="0" zoomScaleNormal="100" workbookViewId="0">
      <selection activeCell="B9" sqref="B9:C9"/>
    </sheetView>
  </sheetViews>
  <sheetFormatPr defaultColWidth="0" defaultRowHeight="12.5" zeroHeight="1" x14ac:dyDescent="0.25"/>
  <cols>
    <col min="1" max="1" width="3.6328125" style="2" customWidth="1"/>
    <col min="2" max="2" width="21" style="2" customWidth="1"/>
    <col min="3" max="3" width="3" style="2" customWidth="1"/>
    <col min="4" max="4" width="29.6328125" style="2" customWidth="1"/>
    <col min="5" max="11" width="9.90625" style="2" customWidth="1"/>
    <col min="12" max="12" width="9" style="2" customWidth="1"/>
    <col min="13" max="16384" width="9" style="2" hidden="1"/>
  </cols>
  <sheetData>
    <row r="1" spans="1:11" ht="14.25" customHeight="1" x14ac:dyDescent="0.3">
      <c r="A1" s="235" t="s">
        <v>48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</row>
    <row r="2" spans="1:11" ht="12" customHeight="1" x14ac:dyDescent="0.25">
      <c r="A2" s="199" t="s">
        <v>49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</row>
    <row r="3" spans="1:11" ht="14.25" customHeight="1" x14ac:dyDescent="0.25">
      <c r="A3" s="236" t="str">
        <f>IF('Reimbursement Request'!N2 &lt;&gt; "",'Reimbursement Request'!N2,"")</f>
        <v/>
      </c>
      <c r="B3" s="236"/>
      <c r="C3" s="236"/>
      <c r="D3" s="236"/>
      <c r="E3" s="236"/>
      <c r="F3" s="236"/>
      <c r="G3" s="236"/>
      <c r="H3" s="236"/>
      <c r="I3" s="236"/>
      <c r="J3" s="236"/>
      <c r="K3" s="236"/>
    </row>
    <row r="4" spans="1:11" ht="12.75" customHeight="1" x14ac:dyDescent="0.25">
      <c r="A4" s="237" t="s">
        <v>50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</row>
    <row r="5" spans="1:11" ht="14.25" customHeight="1" thickBot="1" x14ac:dyDescent="0.3">
      <c r="A5" s="234"/>
      <c r="B5" s="234"/>
      <c r="C5" s="234"/>
      <c r="D5" s="234"/>
      <c r="E5" s="234"/>
      <c r="F5" s="234"/>
      <c r="G5" s="234"/>
      <c r="H5" s="234"/>
      <c r="I5" s="234"/>
      <c r="J5" s="234"/>
      <c r="K5" s="234"/>
    </row>
    <row r="6" spans="1:11" ht="12.75" customHeight="1" x14ac:dyDescent="0.25">
      <c r="A6" s="240" t="s">
        <v>51</v>
      </c>
      <c r="B6" s="240"/>
      <c r="C6" s="240"/>
      <c r="D6" s="240"/>
      <c r="E6" s="240"/>
      <c r="F6" s="240"/>
      <c r="G6" s="240"/>
      <c r="H6" s="240"/>
      <c r="I6" s="240"/>
      <c r="J6" s="240"/>
      <c r="K6" s="240"/>
    </row>
    <row r="7" spans="1:11" s="12" customFormat="1" ht="12" customHeight="1" x14ac:dyDescent="0.2">
      <c r="A7" s="229" t="s">
        <v>52</v>
      </c>
      <c r="B7" s="132" t="s">
        <v>53</v>
      </c>
      <c r="C7" s="134"/>
      <c r="D7" s="245" t="s">
        <v>54</v>
      </c>
      <c r="E7" s="241" t="s">
        <v>55</v>
      </c>
      <c r="F7" s="242"/>
      <c r="G7" s="242"/>
      <c r="H7" s="242"/>
      <c r="I7" s="242"/>
      <c r="J7" s="242"/>
      <c r="K7" s="242"/>
    </row>
    <row r="8" spans="1:11" s="12" customFormat="1" ht="21.75" customHeight="1" x14ac:dyDescent="0.2">
      <c r="A8" s="230"/>
      <c r="B8" s="135"/>
      <c r="C8" s="137"/>
      <c r="D8" s="245"/>
      <c r="E8" s="32"/>
      <c r="F8" s="32"/>
      <c r="G8" s="32"/>
      <c r="H8" s="32"/>
      <c r="I8" s="32"/>
      <c r="J8" s="32"/>
      <c r="K8" s="13" t="s">
        <v>35</v>
      </c>
    </row>
    <row r="9" spans="1:11" s="12" customFormat="1" ht="12.75" customHeight="1" x14ac:dyDescent="0.2">
      <c r="A9" s="14">
        <v>1</v>
      </c>
      <c r="B9" s="238"/>
      <c r="C9" s="239"/>
      <c r="D9" s="15"/>
      <c r="E9" s="29"/>
      <c r="F9" s="16"/>
      <c r="G9" s="16"/>
      <c r="H9" s="16"/>
      <c r="I9" s="16"/>
      <c r="J9" s="16"/>
      <c r="K9" s="17">
        <f t="shared" ref="K9:K38" si="0">SUM(E9:J9)</f>
        <v>0</v>
      </c>
    </row>
    <row r="10" spans="1:11" s="12" customFormat="1" ht="12.75" customHeight="1" x14ac:dyDescent="0.2">
      <c r="A10" s="14">
        <v>2</v>
      </c>
      <c r="B10" s="238"/>
      <c r="C10" s="239"/>
      <c r="D10" s="15"/>
      <c r="E10" s="29"/>
      <c r="F10" s="16"/>
      <c r="G10" s="16"/>
      <c r="H10" s="16"/>
      <c r="I10" s="16"/>
      <c r="J10" s="16"/>
      <c r="K10" s="17">
        <f t="shared" si="0"/>
        <v>0</v>
      </c>
    </row>
    <row r="11" spans="1:11" s="12" customFormat="1" ht="12.75" customHeight="1" x14ac:dyDescent="0.2">
      <c r="A11" s="14">
        <v>3</v>
      </c>
      <c r="B11" s="238"/>
      <c r="C11" s="239"/>
      <c r="D11" s="15"/>
      <c r="E11" s="16"/>
      <c r="F11" s="16"/>
      <c r="G11" s="16"/>
      <c r="H11" s="16"/>
      <c r="I11" s="16"/>
      <c r="J11" s="16"/>
      <c r="K11" s="17">
        <f t="shared" si="0"/>
        <v>0</v>
      </c>
    </row>
    <row r="12" spans="1:11" s="12" customFormat="1" ht="12.75" customHeight="1" x14ac:dyDescent="0.2">
      <c r="A12" s="14">
        <v>4</v>
      </c>
      <c r="B12" s="238"/>
      <c r="C12" s="239"/>
      <c r="D12" s="15"/>
      <c r="E12" s="16"/>
      <c r="F12" s="16"/>
      <c r="G12" s="16"/>
      <c r="H12" s="16"/>
      <c r="I12" s="16"/>
      <c r="J12" s="16"/>
      <c r="K12" s="17">
        <f t="shared" si="0"/>
        <v>0</v>
      </c>
    </row>
    <row r="13" spans="1:11" s="12" customFormat="1" ht="12.75" customHeight="1" x14ac:dyDescent="0.2">
      <c r="A13" s="14">
        <v>5</v>
      </c>
      <c r="B13" s="238"/>
      <c r="C13" s="239"/>
      <c r="D13" s="15"/>
      <c r="E13" s="16"/>
      <c r="F13" s="16"/>
      <c r="G13" s="16"/>
      <c r="H13" s="16"/>
      <c r="I13" s="16"/>
      <c r="J13" s="16"/>
      <c r="K13" s="17">
        <f t="shared" si="0"/>
        <v>0</v>
      </c>
    </row>
    <row r="14" spans="1:11" s="12" customFormat="1" ht="12.75" customHeight="1" x14ac:dyDescent="0.2">
      <c r="A14" s="14">
        <v>6</v>
      </c>
      <c r="B14" s="238"/>
      <c r="C14" s="239"/>
      <c r="D14" s="15"/>
      <c r="E14" s="16"/>
      <c r="F14" s="16"/>
      <c r="G14" s="16"/>
      <c r="H14" s="16"/>
      <c r="I14" s="16"/>
      <c r="J14" s="16"/>
      <c r="K14" s="17">
        <f t="shared" si="0"/>
        <v>0</v>
      </c>
    </row>
    <row r="15" spans="1:11" s="12" customFormat="1" ht="12.75" customHeight="1" x14ac:dyDescent="0.2">
      <c r="A15" s="14">
        <v>7</v>
      </c>
      <c r="B15" s="238"/>
      <c r="C15" s="239"/>
      <c r="D15" s="15"/>
      <c r="E15" s="16"/>
      <c r="F15" s="16"/>
      <c r="G15" s="16"/>
      <c r="H15" s="16"/>
      <c r="I15" s="16"/>
      <c r="J15" s="16"/>
      <c r="K15" s="17">
        <f t="shared" si="0"/>
        <v>0</v>
      </c>
    </row>
    <row r="16" spans="1:11" s="12" customFormat="1" ht="12.75" customHeight="1" x14ac:dyDescent="0.2">
      <c r="A16" s="14">
        <v>8</v>
      </c>
      <c r="B16" s="238"/>
      <c r="C16" s="239"/>
      <c r="D16" s="15"/>
      <c r="E16" s="16"/>
      <c r="F16" s="16"/>
      <c r="G16" s="16"/>
      <c r="H16" s="16"/>
      <c r="I16" s="16"/>
      <c r="J16" s="16"/>
      <c r="K16" s="17">
        <f t="shared" si="0"/>
        <v>0</v>
      </c>
    </row>
    <row r="17" spans="1:11" s="12" customFormat="1" ht="12.75" customHeight="1" x14ac:dyDescent="0.2">
      <c r="A17" s="14">
        <v>9</v>
      </c>
      <c r="B17" s="238"/>
      <c r="C17" s="239"/>
      <c r="D17" s="15"/>
      <c r="E17" s="16"/>
      <c r="F17" s="16"/>
      <c r="G17" s="16"/>
      <c r="H17" s="16"/>
      <c r="I17" s="16"/>
      <c r="J17" s="16"/>
      <c r="K17" s="17">
        <f t="shared" si="0"/>
        <v>0</v>
      </c>
    </row>
    <row r="18" spans="1:11" s="12" customFormat="1" ht="12.75" customHeight="1" x14ac:dyDescent="0.2">
      <c r="A18" s="14">
        <v>10</v>
      </c>
      <c r="B18" s="238"/>
      <c r="C18" s="239"/>
      <c r="D18" s="15"/>
      <c r="E18" s="16"/>
      <c r="F18" s="16"/>
      <c r="G18" s="16"/>
      <c r="H18" s="16"/>
      <c r="I18" s="16"/>
      <c r="J18" s="16"/>
      <c r="K18" s="17">
        <f t="shared" si="0"/>
        <v>0</v>
      </c>
    </row>
    <row r="19" spans="1:11" s="12" customFormat="1" ht="12.75" customHeight="1" x14ac:dyDescent="0.2">
      <c r="A19" s="14">
        <v>11</v>
      </c>
      <c r="B19" s="238"/>
      <c r="C19" s="239"/>
      <c r="D19" s="15"/>
      <c r="E19" s="16"/>
      <c r="F19" s="16"/>
      <c r="G19" s="16"/>
      <c r="H19" s="16"/>
      <c r="I19" s="16"/>
      <c r="J19" s="16"/>
      <c r="K19" s="17">
        <f t="shared" si="0"/>
        <v>0</v>
      </c>
    </row>
    <row r="20" spans="1:11" s="12" customFormat="1" ht="12.75" customHeight="1" x14ac:dyDescent="0.2">
      <c r="A20" s="14">
        <v>12</v>
      </c>
      <c r="B20" s="238"/>
      <c r="C20" s="239"/>
      <c r="D20" s="15"/>
      <c r="E20" s="16"/>
      <c r="F20" s="16"/>
      <c r="G20" s="16"/>
      <c r="H20" s="16"/>
      <c r="I20" s="16"/>
      <c r="J20" s="16"/>
      <c r="K20" s="17">
        <f t="shared" si="0"/>
        <v>0</v>
      </c>
    </row>
    <row r="21" spans="1:11" s="12" customFormat="1" ht="12.75" customHeight="1" x14ac:dyDescent="0.2">
      <c r="A21" s="14">
        <v>13</v>
      </c>
      <c r="B21" s="238"/>
      <c r="C21" s="239"/>
      <c r="D21" s="15"/>
      <c r="E21" s="16"/>
      <c r="F21" s="16"/>
      <c r="G21" s="16"/>
      <c r="H21" s="16"/>
      <c r="I21" s="16"/>
      <c r="J21" s="16"/>
      <c r="K21" s="17">
        <f t="shared" si="0"/>
        <v>0</v>
      </c>
    </row>
    <row r="22" spans="1:11" s="12" customFormat="1" ht="12.75" customHeight="1" x14ac:dyDescent="0.2">
      <c r="A22" s="14">
        <v>14</v>
      </c>
      <c r="B22" s="238"/>
      <c r="C22" s="239"/>
      <c r="D22" s="15"/>
      <c r="E22" s="16"/>
      <c r="F22" s="16"/>
      <c r="G22" s="16"/>
      <c r="H22" s="16"/>
      <c r="I22" s="16"/>
      <c r="J22" s="16"/>
      <c r="K22" s="17">
        <f t="shared" si="0"/>
        <v>0</v>
      </c>
    </row>
    <row r="23" spans="1:11" s="12" customFormat="1" ht="12.75" customHeight="1" x14ac:dyDescent="0.2">
      <c r="A23" s="14">
        <v>15</v>
      </c>
      <c r="B23" s="238"/>
      <c r="C23" s="239"/>
      <c r="D23" s="15"/>
      <c r="E23" s="16"/>
      <c r="F23" s="16"/>
      <c r="G23" s="16"/>
      <c r="H23" s="16"/>
      <c r="I23" s="16"/>
      <c r="J23" s="16"/>
      <c r="K23" s="17">
        <f t="shared" si="0"/>
        <v>0</v>
      </c>
    </row>
    <row r="24" spans="1:11" s="12" customFormat="1" ht="12.75" customHeight="1" x14ac:dyDescent="0.2">
      <c r="A24" s="14">
        <v>16</v>
      </c>
      <c r="B24" s="238"/>
      <c r="C24" s="239"/>
      <c r="D24" s="15"/>
      <c r="E24" s="16"/>
      <c r="F24" s="16"/>
      <c r="G24" s="16"/>
      <c r="H24" s="16"/>
      <c r="I24" s="16"/>
      <c r="J24" s="16"/>
      <c r="K24" s="17">
        <f t="shared" si="0"/>
        <v>0</v>
      </c>
    </row>
    <row r="25" spans="1:11" s="12" customFormat="1" ht="12.75" customHeight="1" x14ac:dyDescent="0.2">
      <c r="A25" s="14">
        <v>17</v>
      </c>
      <c r="B25" s="238"/>
      <c r="C25" s="239"/>
      <c r="D25" s="15"/>
      <c r="E25" s="16"/>
      <c r="F25" s="16"/>
      <c r="G25" s="16"/>
      <c r="H25" s="16"/>
      <c r="I25" s="16"/>
      <c r="J25" s="16"/>
      <c r="K25" s="17">
        <f t="shared" si="0"/>
        <v>0</v>
      </c>
    </row>
    <row r="26" spans="1:11" s="12" customFormat="1" ht="12.75" customHeight="1" x14ac:dyDescent="0.2">
      <c r="A26" s="14">
        <v>18</v>
      </c>
      <c r="B26" s="238"/>
      <c r="C26" s="239"/>
      <c r="D26" s="15"/>
      <c r="E26" s="16"/>
      <c r="F26" s="16"/>
      <c r="G26" s="16"/>
      <c r="H26" s="16"/>
      <c r="I26" s="16"/>
      <c r="J26" s="16"/>
      <c r="K26" s="17">
        <f t="shared" si="0"/>
        <v>0</v>
      </c>
    </row>
    <row r="27" spans="1:11" s="12" customFormat="1" ht="12.75" customHeight="1" x14ac:dyDescent="0.2">
      <c r="A27" s="14">
        <v>19</v>
      </c>
      <c r="B27" s="238"/>
      <c r="C27" s="239"/>
      <c r="D27" s="15"/>
      <c r="E27" s="16"/>
      <c r="F27" s="16"/>
      <c r="G27" s="16"/>
      <c r="H27" s="16"/>
      <c r="I27" s="16"/>
      <c r="J27" s="16"/>
      <c r="K27" s="17">
        <f t="shared" si="0"/>
        <v>0</v>
      </c>
    </row>
    <row r="28" spans="1:11" s="12" customFormat="1" ht="12.75" customHeight="1" x14ac:dyDescent="0.2">
      <c r="A28" s="14">
        <v>20</v>
      </c>
      <c r="B28" s="238"/>
      <c r="C28" s="239"/>
      <c r="D28" s="15"/>
      <c r="E28" s="16"/>
      <c r="F28" s="16"/>
      <c r="G28" s="16"/>
      <c r="H28" s="16"/>
      <c r="I28" s="16"/>
      <c r="J28" s="16"/>
      <c r="K28" s="17">
        <f t="shared" si="0"/>
        <v>0</v>
      </c>
    </row>
    <row r="29" spans="1:11" s="12" customFormat="1" ht="12.75" customHeight="1" x14ac:dyDescent="0.2">
      <c r="A29" s="14">
        <v>21</v>
      </c>
      <c r="B29" s="238"/>
      <c r="C29" s="239"/>
      <c r="D29" s="15"/>
      <c r="E29" s="18"/>
      <c r="F29" s="18"/>
      <c r="G29" s="18"/>
      <c r="H29" s="18"/>
      <c r="I29" s="18"/>
      <c r="J29" s="16"/>
      <c r="K29" s="17">
        <f t="shared" si="0"/>
        <v>0</v>
      </c>
    </row>
    <row r="30" spans="1:11" s="12" customFormat="1" ht="12.75" customHeight="1" x14ac:dyDescent="0.2">
      <c r="A30" s="14">
        <v>22</v>
      </c>
      <c r="B30" s="238"/>
      <c r="C30" s="239"/>
      <c r="D30" s="15"/>
      <c r="E30" s="18"/>
      <c r="F30" s="18"/>
      <c r="G30" s="18"/>
      <c r="H30" s="18"/>
      <c r="I30" s="18"/>
      <c r="J30" s="16"/>
      <c r="K30" s="17">
        <f t="shared" si="0"/>
        <v>0</v>
      </c>
    </row>
    <row r="31" spans="1:11" s="12" customFormat="1" ht="12.75" customHeight="1" x14ac:dyDescent="0.2">
      <c r="A31" s="14">
        <v>23</v>
      </c>
      <c r="B31" s="238"/>
      <c r="C31" s="239"/>
      <c r="D31" s="15"/>
      <c r="E31" s="18"/>
      <c r="F31" s="18"/>
      <c r="G31" s="18"/>
      <c r="H31" s="18"/>
      <c r="I31" s="18"/>
      <c r="J31" s="16"/>
      <c r="K31" s="17">
        <f t="shared" si="0"/>
        <v>0</v>
      </c>
    </row>
    <row r="32" spans="1:11" s="12" customFormat="1" ht="12.75" customHeight="1" x14ac:dyDescent="0.2">
      <c r="A32" s="14">
        <v>24</v>
      </c>
      <c r="B32" s="238"/>
      <c r="C32" s="239"/>
      <c r="D32" s="15"/>
      <c r="E32" s="18"/>
      <c r="F32" s="18"/>
      <c r="G32" s="18"/>
      <c r="H32" s="18"/>
      <c r="I32" s="18"/>
      <c r="J32" s="16"/>
      <c r="K32" s="17">
        <f t="shared" si="0"/>
        <v>0</v>
      </c>
    </row>
    <row r="33" spans="1:11" s="12" customFormat="1" ht="12.75" customHeight="1" x14ac:dyDescent="0.2">
      <c r="A33" s="14">
        <v>25</v>
      </c>
      <c r="B33" s="238"/>
      <c r="C33" s="239"/>
      <c r="D33" s="15"/>
      <c r="E33" s="18"/>
      <c r="F33" s="18"/>
      <c r="G33" s="18"/>
      <c r="H33" s="18"/>
      <c r="I33" s="18"/>
      <c r="J33" s="16"/>
      <c r="K33" s="17">
        <f t="shared" si="0"/>
        <v>0</v>
      </c>
    </row>
    <row r="34" spans="1:11" s="12" customFormat="1" ht="12.75" customHeight="1" x14ac:dyDescent="0.2">
      <c r="A34" s="14">
        <v>26</v>
      </c>
      <c r="B34" s="238"/>
      <c r="C34" s="239"/>
      <c r="D34" s="15"/>
      <c r="E34" s="18"/>
      <c r="F34" s="18"/>
      <c r="G34" s="18"/>
      <c r="H34" s="18"/>
      <c r="I34" s="18"/>
      <c r="J34" s="16"/>
      <c r="K34" s="17">
        <f t="shared" si="0"/>
        <v>0</v>
      </c>
    </row>
    <row r="35" spans="1:11" s="12" customFormat="1" ht="12.75" customHeight="1" x14ac:dyDescent="0.2">
      <c r="A35" s="14">
        <v>27</v>
      </c>
      <c r="B35" s="238"/>
      <c r="C35" s="239"/>
      <c r="D35" s="15"/>
      <c r="E35" s="18"/>
      <c r="F35" s="18"/>
      <c r="G35" s="18"/>
      <c r="H35" s="18"/>
      <c r="I35" s="18"/>
      <c r="J35" s="16"/>
      <c r="K35" s="17">
        <f t="shared" si="0"/>
        <v>0</v>
      </c>
    </row>
    <row r="36" spans="1:11" s="12" customFormat="1" ht="12.75" customHeight="1" x14ac:dyDescent="0.2">
      <c r="A36" s="14">
        <v>28</v>
      </c>
      <c r="B36" s="238"/>
      <c r="C36" s="239"/>
      <c r="D36" s="15"/>
      <c r="E36" s="18"/>
      <c r="F36" s="18"/>
      <c r="G36" s="18"/>
      <c r="H36" s="18"/>
      <c r="I36" s="18"/>
      <c r="J36" s="16"/>
      <c r="K36" s="17">
        <f t="shared" si="0"/>
        <v>0</v>
      </c>
    </row>
    <row r="37" spans="1:11" s="12" customFormat="1" ht="12.75" customHeight="1" x14ac:dyDescent="0.2">
      <c r="A37" s="14">
        <v>29</v>
      </c>
      <c r="B37" s="238"/>
      <c r="C37" s="239"/>
      <c r="D37" s="15"/>
      <c r="E37" s="18"/>
      <c r="F37" s="18"/>
      <c r="G37" s="18"/>
      <c r="H37" s="18"/>
      <c r="I37" s="18"/>
      <c r="J37" s="16"/>
      <c r="K37" s="17">
        <f t="shared" si="0"/>
        <v>0</v>
      </c>
    </row>
    <row r="38" spans="1:11" s="12" customFormat="1" ht="12.75" customHeight="1" x14ac:dyDescent="0.2">
      <c r="A38" s="14">
        <v>30</v>
      </c>
      <c r="B38" s="238"/>
      <c r="C38" s="239"/>
      <c r="D38" s="15"/>
      <c r="E38" s="18"/>
      <c r="F38" s="18"/>
      <c r="G38" s="18"/>
      <c r="H38" s="18"/>
      <c r="I38" s="18"/>
      <c r="J38" s="16"/>
      <c r="K38" s="17">
        <f t="shared" si="0"/>
        <v>0</v>
      </c>
    </row>
    <row r="39" spans="1:11" s="12" customFormat="1" ht="12.75" customHeight="1" x14ac:dyDescent="0.2">
      <c r="A39" s="243" t="s">
        <v>56</v>
      </c>
      <c r="B39" s="243"/>
      <c r="C39" s="243"/>
      <c r="D39" s="244"/>
      <c r="E39" s="19">
        <f t="shared" ref="E39:J39" si="1">SUM(E9:E38)</f>
        <v>0</v>
      </c>
      <c r="F39" s="19">
        <f t="shared" si="1"/>
        <v>0</v>
      </c>
      <c r="G39" s="19">
        <f t="shared" si="1"/>
        <v>0</v>
      </c>
      <c r="H39" s="19">
        <f t="shared" si="1"/>
        <v>0</v>
      </c>
      <c r="I39" s="19">
        <f t="shared" si="1"/>
        <v>0</v>
      </c>
      <c r="J39" s="19">
        <f t="shared" si="1"/>
        <v>0</v>
      </c>
      <c r="K39" s="17">
        <f>SUM(E39:J39)</f>
        <v>0</v>
      </c>
    </row>
    <row r="40" spans="1:11" x14ac:dyDescent="0.25"/>
  </sheetData>
  <sheetProtection algorithmName="SHA-512" hashValue="kWk/hmJfLGozWuPwLBMGfecr1P5S81ASu5zQpnYoi4zFvylICvv1oONDWI1rCIZ18kfm+28QD0z23hwSyp46sw==" saltValue="LfH72bnJXT7yA45hL2tVdg==" spinCount="100000" sheet="1" selectLockedCells="1"/>
  <mergeCells count="41">
    <mergeCell ref="B19:C19"/>
    <mergeCell ref="B17:C17"/>
    <mergeCell ref="A39:D39"/>
    <mergeCell ref="A7:A8"/>
    <mergeCell ref="B32:C32"/>
    <mergeCell ref="B33:C33"/>
    <mergeCell ref="B38:C38"/>
    <mergeCell ref="B35:C35"/>
    <mergeCell ref="B36:C36"/>
    <mergeCell ref="B37:C37"/>
    <mergeCell ref="B12:C12"/>
    <mergeCell ref="B13:C13"/>
    <mergeCell ref="B7:C8"/>
    <mergeCell ref="B30:C30"/>
    <mergeCell ref="B31:C31"/>
    <mergeCell ref="D7:D8"/>
    <mergeCell ref="B34:C34"/>
    <mergeCell ref="B28:C28"/>
    <mergeCell ref="B29:C29"/>
    <mergeCell ref="B20:C20"/>
    <mergeCell ref="B21:C21"/>
    <mergeCell ref="B22:C22"/>
    <mergeCell ref="B23:C23"/>
    <mergeCell ref="B24:C24"/>
    <mergeCell ref="B25:C25"/>
    <mergeCell ref="B26:C26"/>
    <mergeCell ref="B27:C27"/>
    <mergeCell ref="B18:C18"/>
    <mergeCell ref="A6:K6"/>
    <mergeCell ref="B9:C9"/>
    <mergeCell ref="B10:C10"/>
    <mergeCell ref="B11:C11"/>
    <mergeCell ref="E7:K7"/>
    <mergeCell ref="B16:C16"/>
    <mergeCell ref="B14:C14"/>
    <mergeCell ref="B15:C15"/>
    <mergeCell ref="A5:K5"/>
    <mergeCell ref="A1:K1"/>
    <mergeCell ref="A2:K2"/>
    <mergeCell ref="A3:K3"/>
    <mergeCell ref="A4:K4"/>
  </mergeCells>
  <dataValidations count="1">
    <dataValidation type="decimal" allowBlank="1" showInputMessage="1" showErrorMessage="1" error="Please enter a valid number." sqref="E9:J38" xr:uid="{00000000-0002-0000-0100-000000000000}">
      <formula1>-9999.99</formula1>
      <formula2>9999.99</formula2>
    </dataValidation>
  </dataValidations>
  <printOptions horizontalCentered="1" verticalCentered="1"/>
  <pageMargins left="0.70866141732283505" right="0.59055118110236204" top="0.59055118110236204" bottom="0.511811023622047" header="0.31496062992126" footer="0.31496062992126"/>
  <pageSetup orientation="landscape" r:id="rId1"/>
  <ignoredErrors>
    <ignoredError sqref="A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2:A14"/>
  <sheetViews>
    <sheetView workbookViewId="0">
      <selection activeCell="A3" sqref="A3"/>
    </sheetView>
  </sheetViews>
  <sheetFormatPr defaultColWidth="8.90625" defaultRowHeight="12.5" x14ac:dyDescent="0.25"/>
  <cols>
    <col min="1" max="1" width="24.6328125" customWidth="1"/>
  </cols>
  <sheetData>
    <row r="2" spans="1:1" x14ac:dyDescent="0.25">
      <c r="A2" s="28" t="s">
        <v>57</v>
      </c>
    </row>
    <row r="3" spans="1:1" x14ac:dyDescent="0.25">
      <c r="A3" s="1" t="s">
        <v>58</v>
      </c>
    </row>
    <row r="4" spans="1:1" x14ac:dyDescent="0.25">
      <c r="A4" s="1" t="s">
        <v>59</v>
      </c>
    </row>
    <row r="5" spans="1:1" x14ac:dyDescent="0.25">
      <c r="A5" s="1" t="s">
        <v>60</v>
      </c>
    </row>
    <row r="6" spans="1:1" x14ac:dyDescent="0.25">
      <c r="A6" s="1" t="s">
        <v>61</v>
      </c>
    </row>
    <row r="7" spans="1:1" x14ac:dyDescent="0.25">
      <c r="A7" s="1" t="s">
        <v>62</v>
      </c>
    </row>
    <row r="8" spans="1:1" x14ac:dyDescent="0.25">
      <c r="A8" s="1" t="s">
        <v>63</v>
      </c>
    </row>
    <row r="9" spans="1:1" x14ac:dyDescent="0.25">
      <c r="A9" s="1" t="s">
        <v>64</v>
      </c>
    </row>
    <row r="10" spans="1:1" x14ac:dyDescent="0.25">
      <c r="A10" s="1" t="s">
        <v>65</v>
      </c>
    </row>
    <row r="11" spans="1:1" x14ac:dyDescent="0.25">
      <c r="A11" s="1" t="s">
        <v>66</v>
      </c>
    </row>
    <row r="12" spans="1:1" x14ac:dyDescent="0.25">
      <c r="A12" s="1" t="s">
        <v>67</v>
      </c>
    </row>
    <row r="13" spans="1:1" x14ac:dyDescent="0.25">
      <c r="A13" s="1" t="s">
        <v>68</v>
      </c>
    </row>
    <row r="14" spans="1:1" x14ac:dyDescent="0.25">
      <c r="A14" s="1" t="s">
        <v>69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99"/>
    <pageSetUpPr fitToPage="1"/>
  </sheetPr>
  <dimension ref="A1:H58"/>
  <sheetViews>
    <sheetView showGridLines="0" showZeros="0" zoomScaleNormal="100" workbookViewId="0">
      <selection activeCell="A3" sqref="A3"/>
    </sheetView>
  </sheetViews>
  <sheetFormatPr defaultColWidth="0" defaultRowHeight="12.5" zeroHeight="1" x14ac:dyDescent="0.25"/>
  <cols>
    <col min="1" max="1" width="10" customWidth="1"/>
    <col min="2" max="3" width="19.36328125" customWidth="1"/>
    <col min="4" max="4" width="28" customWidth="1"/>
    <col min="5" max="5" width="7.36328125" customWidth="1"/>
    <col min="6" max="7" width="7.6328125" customWidth="1"/>
    <col min="8" max="8" width="2.36328125" customWidth="1"/>
    <col min="9" max="16384" width="8.90625" hidden="1"/>
  </cols>
  <sheetData>
    <row r="1" spans="1:7" x14ac:dyDescent="0.25">
      <c r="A1" s="27" t="s">
        <v>5</v>
      </c>
      <c r="B1" s="27"/>
      <c r="C1" s="31">
        <f>'Reimbursement Request'!T4</f>
        <v>0.7</v>
      </c>
      <c r="D1" s="110"/>
      <c r="E1" s="111"/>
    </row>
    <row r="2" spans="1:7" ht="17.25" customHeight="1" x14ac:dyDescent="0.25">
      <c r="A2" s="11" t="s">
        <v>21</v>
      </c>
      <c r="B2" s="22" t="s">
        <v>22</v>
      </c>
      <c r="C2" s="22" t="s">
        <v>23</v>
      </c>
      <c r="D2" s="22" t="s">
        <v>13</v>
      </c>
      <c r="E2" s="3" t="s">
        <v>24</v>
      </c>
      <c r="F2" s="3" t="s">
        <v>25</v>
      </c>
      <c r="G2" s="21" t="s">
        <v>26</v>
      </c>
    </row>
    <row r="3" spans="1:7" ht="12.75" customHeight="1" x14ac:dyDescent="0.25">
      <c r="A3" s="9"/>
      <c r="B3" s="33"/>
      <c r="C3" s="34"/>
      <c r="D3" s="20"/>
      <c r="E3" s="30"/>
      <c r="F3" s="10"/>
      <c r="G3" s="23">
        <f>ROUND(E3*$C$1+F3,2)</f>
        <v>0</v>
      </c>
    </row>
    <row r="4" spans="1:7" ht="12.75" customHeight="1" x14ac:dyDescent="0.25">
      <c r="A4" s="9"/>
      <c r="B4" s="33"/>
      <c r="C4" s="34"/>
      <c r="D4" s="20"/>
      <c r="E4" s="30"/>
      <c r="F4" s="10"/>
      <c r="G4" s="23">
        <f t="shared" ref="G4:G55" si="0">ROUND(E4*$C$1+F4,2)</f>
        <v>0</v>
      </c>
    </row>
    <row r="5" spans="1:7" ht="12.75" customHeight="1" x14ac:dyDescent="0.25">
      <c r="A5" s="9"/>
      <c r="B5" s="33"/>
      <c r="C5" s="34"/>
      <c r="D5" s="20"/>
      <c r="E5" s="30"/>
      <c r="F5" s="10"/>
      <c r="G5" s="23">
        <f t="shared" si="0"/>
        <v>0</v>
      </c>
    </row>
    <row r="6" spans="1:7" ht="12.75" customHeight="1" x14ac:dyDescent="0.25">
      <c r="A6" s="9"/>
      <c r="B6" s="33"/>
      <c r="C6" s="34"/>
      <c r="D6" s="20"/>
      <c r="E6" s="30"/>
      <c r="F6" s="10"/>
      <c r="G6" s="23">
        <f>ROUND(E6*$C$1+F6,2)</f>
        <v>0</v>
      </c>
    </row>
    <row r="7" spans="1:7" ht="12.75" customHeight="1" x14ac:dyDescent="0.25">
      <c r="A7" s="9"/>
      <c r="B7" s="33"/>
      <c r="C7" s="34"/>
      <c r="D7" s="20"/>
      <c r="E7" s="30"/>
      <c r="F7" s="10"/>
      <c r="G7" s="23">
        <f>ROUND(E7*$C$1+F7,2)</f>
        <v>0</v>
      </c>
    </row>
    <row r="8" spans="1:7" ht="12.75" customHeight="1" x14ac:dyDescent="0.25">
      <c r="A8" s="9"/>
      <c r="B8" s="33"/>
      <c r="C8" s="34"/>
      <c r="D8" s="20"/>
      <c r="E8" s="30"/>
      <c r="F8" s="10"/>
      <c r="G8" s="23">
        <f>ROUND(E8*$C$1+F8,2)</f>
        <v>0</v>
      </c>
    </row>
    <row r="9" spans="1:7" ht="12.75" customHeight="1" x14ac:dyDescent="0.25">
      <c r="A9" s="9"/>
      <c r="B9" s="33"/>
      <c r="C9" s="34"/>
      <c r="D9" s="20"/>
      <c r="E9" s="30"/>
      <c r="F9" s="10"/>
      <c r="G9" s="23">
        <f t="shared" si="0"/>
        <v>0</v>
      </c>
    </row>
    <row r="10" spans="1:7" ht="12.75" customHeight="1" x14ac:dyDescent="0.25">
      <c r="A10" s="9"/>
      <c r="B10" s="33"/>
      <c r="C10" s="34"/>
      <c r="D10" s="20"/>
      <c r="E10" s="30"/>
      <c r="F10" s="10"/>
      <c r="G10" s="23">
        <f t="shared" si="0"/>
        <v>0</v>
      </c>
    </row>
    <row r="11" spans="1:7" ht="12.75" customHeight="1" x14ac:dyDescent="0.25">
      <c r="A11" s="9"/>
      <c r="B11" s="33"/>
      <c r="C11" s="34"/>
      <c r="D11" s="20"/>
      <c r="E11" s="30"/>
      <c r="F11" s="10"/>
      <c r="G11" s="23">
        <f>ROUND(E11*$C$1+F11,2)</f>
        <v>0</v>
      </c>
    </row>
    <row r="12" spans="1:7" ht="12.75" customHeight="1" x14ac:dyDescent="0.25">
      <c r="A12" s="9"/>
      <c r="B12" s="33"/>
      <c r="C12" s="34"/>
      <c r="D12" s="20"/>
      <c r="E12" s="30"/>
      <c r="F12" s="10"/>
      <c r="G12" s="23">
        <f>ROUND(E12*$C$1+F12,2)</f>
        <v>0</v>
      </c>
    </row>
    <row r="13" spans="1:7" ht="12.75" customHeight="1" x14ac:dyDescent="0.25">
      <c r="A13" s="9"/>
      <c r="B13" s="33"/>
      <c r="C13" s="34"/>
      <c r="D13" s="20"/>
      <c r="E13" s="30"/>
      <c r="F13" s="10"/>
      <c r="G13" s="23">
        <f>ROUND(E13*$C$1+F13,2)</f>
        <v>0</v>
      </c>
    </row>
    <row r="14" spans="1:7" ht="12.75" customHeight="1" x14ac:dyDescent="0.25">
      <c r="A14" s="9"/>
      <c r="B14" s="33"/>
      <c r="C14" s="34"/>
      <c r="D14" s="20"/>
      <c r="E14" s="30"/>
      <c r="F14" s="10"/>
      <c r="G14" s="23">
        <f t="shared" si="0"/>
        <v>0</v>
      </c>
    </row>
    <row r="15" spans="1:7" ht="12.75" customHeight="1" x14ac:dyDescent="0.25">
      <c r="A15" s="9"/>
      <c r="B15" s="33"/>
      <c r="C15" s="34"/>
      <c r="D15" s="20"/>
      <c r="E15" s="30"/>
      <c r="F15" s="10"/>
      <c r="G15" s="23">
        <f t="shared" si="0"/>
        <v>0</v>
      </c>
    </row>
    <row r="16" spans="1:7" ht="12.75" customHeight="1" x14ac:dyDescent="0.25">
      <c r="A16" s="9"/>
      <c r="B16" s="33"/>
      <c r="C16" s="34"/>
      <c r="D16" s="20"/>
      <c r="E16" s="30"/>
      <c r="F16" s="10"/>
      <c r="G16" s="23">
        <f t="shared" si="0"/>
        <v>0</v>
      </c>
    </row>
    <row r="17" spans="1:7" ht="12.75" customHeight="1" x14ac:dyDescent="0.25">
      <c r="A17" s="9"/>
      <c r="B17" s="33"/>
      <c r="C17" s="34"/>
      <c r="D17" s="20"/>
      <c r="E17" s="30"/>
      <c r="F17" s="10"/>
      <c r="G17" s="23">
        <f t="shared" si="0"/>
        <v>0</v>
      </c>
    </row>
    <row r="18" spans="1:7" ht="12.75" customHeight="1" x14ac:dyDescent="0.25">
      <c r="A18" s="9"/>
      <c r="B18" s="33"/>
      <c r="C18" s="34"/>
      <c r="D18" s="20"/>
      <c r="E18" s="30"/>
      <c r="F18" s="10"/>
      <c r="G18" s="23">
        <f t="shared" si="0"/>
        <v>0</v>
      </c>
    </row>
    <row r="19" spans="1:7" ht="12.75" customHeight="1" x14ac:dyDescent="0.25">
      <c r="A19" s="9"/>
      <c r="B19" s="33"/>
      <c r="C19" s="34"/>
      <c r="D19" s="20"/>
      <c r="E19" s="30"/>
      <c r="F19" s="10"/>
      <c r="G19" s="23">
        <f t="shared" si="0"/>
        <v>0</v>
      </c>
    </row>
    <row r="20" spans="1:7" ht="12.75" customHeight="1" x14ac:dyDescent="0.25">
      <c r="A20" s="9"/>
      <c r="B20" s="33"/>
      <c r="C20" s="34"/>
      <c r="D20" s="20"/>
      <c r="E20" s="30"/>
      <c r="F20" s="10"/>
      <c r="G20" s="23">
        <f t="shared" si="0"/>
        <v>0</v>
      </c>
    </row>
    <row r="21" spans="1:7" ht="12.75" customHeight="1" x14ac:dyDescent="0.25">
      <c r="A21" s="9"/>
      <c r="B21" s="33"/>
      <c r="C21" s="34"/>
      <c r="D21" s="20"/>
      <c r="E21" s="30">
        <f t="shared" ref="E21:E56" si="1">IF(ISNUMBER(C21-B21),C21-B21,0)</f>
        <v>0</v>
      </c>
      <c r="F21" s="10"/>
      <c r="G21" s="23">
        <f t="shared" si="0"/>
        <v>0</v>
      </c>
    </row>
    <row r="22" spans="1:7" ht="12.75" customHeight="1" x14ac:dyDescent="0.25">
      <c r="A22" s="9"/>
      <c r="B22" s="33"/>
      <c r="C22" s="34"/>
      <c r="D22" s="20"/>
      <c r="E22" s="30">
        <f t="shared" si="1"/>
        <v>0</v>
      </c>
      <c r="F22" s="10"/>
      <c r="G22" s="23">
        <f t="shared" si="0"/>
        <v>0</v>
      </c>
    </row>
    <row r="23" spans="1:7" ht="12.75" customHeight="1" x14ac:dyDescent="0.25">
      <c r="A23" s="9"/>
      <c r="B23" s="33"/>
      <c r="C23" s="34"/>
      <c r="D23" s="20"/>
      <c r="E23" s="30">
        <f t="shared" si="1"/>
        <v>0</v>
      </c>
      <c r="F23" s="10"/>
      <c r="G23" s="23">
        <f t="shared" si="0"/>
        <v>0</v>
      </c>
    </row>
    <row r="24" spans="1:7" ht="12.75" customHeight="1" x14ac:dyDescent="0.25">
      <c r="A24" s="9"/>
      <c r="B24" s="33"/>
      <c r="C24" s="34"/>
      <c r="D24" s="20"/>
      <c r="E24" s="30">
        <f t="shared" si="1"/>
        <v>0</v>
      </c>
      <c r="F24" s="10"/>
      <c r="G24" s="23">
        <f t="shared" si="0"/>
        <v>0</v>
      </c>
    </row>
    <row r="25" spans="1:7" ht="12.75" customHeight="1" x14ac:dyDescent="0.25">
      <c r="A25" s="9"/>
      <c r="B25" s="33"/>
      <c r="C25" s="34"/>
      <c r="D25" s="20"/>
      <c r="E25" s="30">
        <f t="shared" si="1"/>
        <v>0</v>
      </c>
      <c r="F25" s="10"/>
      <c r="G25" s="23">
        <f t="shared" si="0"/>
        <v>0</v>
      </c>
    </row>
    <row r="26" spans="1:7" ht="12.75" customHeight="1" x14ac:dyDescent="0.25">
      <c r="A26" s="9"/>
      <c r="B26" s="33"/>
      <c r="C26" s="34"/>
      <c r="D26" s="20"/>
      <c r="E26" s="30">
        <f t="shared" si="1"/>
        <v>0</v>
      </c>
      <c r="F26" s="10"/>
      <c r="G26" s="23">
        <f t="shared" si="0"/>
        <v>0</v>
      </c>
    </row>
    <row r="27" spans="1:7" ht="12.75" customHeight="1" x14ac:dyDescent="0.25">
      <c r="A27" s="9"/>
      <c r="B27" s="33"/>
      <c r="C27" s="34"/>
      <c r="D27" s="20"/>
      <c r="E27" s="30">
        <f t="shared" si="1"/>
        <v>0</v>
      </c>
      <c r="F27" s="10"/>
      <c r="G27" s="23">
        <f t="shared" si="0"/>
        <v>0</v>
      </c>
    </row>
    <row r="28" spans="1:7" ht="12.75" customHeight="1" x14ac:dyDescent="0.25">
      <c r="A28" s="9"/>
      <c r="B28" s="33"/>
      <c r="C28" s="34"/>
      <c r="D28" s="20"/>
      <c r="E28" s="30">
        <f t="shared" si="1"/>
        <v>0</v>
      </c>
      <c r="F28" s="10"/>
      <c r="G28" s="23">
        <f t="shared" si="0"/>
        <v>0</v>
      </c>
    </row>
    <row r="29" spans="1:7" ht="12.75" customHeight="1" x14ac:dyDescent="0.25">
      <c r="A29" s="9"/>
      <c r="B29" s="33"/>
      <c r="C29" s="34"/>
      <c r="D29" s="20"/>
      <c r="E29" s="30">
        <f t="shared" si="1"/>
        <v>0</v>
      </c>
      <c r="F29" s="10"/>
      <c r="G29" s="23">
        <f t="shared" si="0"/>
        <v>0</v>
      </c>
    </row>
    <row r="30" spans="1:7" ht="12.75" customHeight="1" x14ac:dyDescent="0.25">
      <c r="A30" s="9"/>
      <c r="B30" s="33"/>
      <c r="C30" s="34"/>
      <c r="D30" s="20"/>
      <c r="E30" s="30">
        <f t="shared" si="1"/>
        <v>0</v>
      </c>
      <c r="F30" s="10"/>
      <c r="G30" s="23">
        <f t="shared" si="0"/>
        <v>0</v>
      </c>
    </row>
    <row r="31" spans="1:7" ht="12.75" customHeight="1" x14ac:dyDescent="0.25">
      <c r="A31" s="9"/>
      <c r="B31" s="33"/>
      <c r="C31" s="34"/>
      <c r="D31" s="20"/>
      <c r="E31" s="30">
        <f t="shared" si="1"/>
        <v>0</v>
      </c>
      <c r="F31" s="10"/>
      <c r="G31" s="23">
        <f t="shared" si="0"/>
        <v>0</v>
      </c>
    </row>
    <row r="32" spans="1:7" ht="12.75" customHeight="1" x14ac:dyDescent="0.25">
      <c r="A32" s="9"/>
      <c r="B32" s="33"/>
      <c r="C32" s="34"/>
      <c r="D32" s="20"/>
      <c r="E32" s="30">
        <f t="shared" si="1"/>
        <v>0</v>
      </c>
      <c r="F32" s="10"/>
      <c r="G32" s="23">
        <f t="shared" si="0"/>
        <v>0</v>
      </c>
    </row>
    <row r="33" spans="1:7" ht="12.75" customHeight="1" x14ac:dyDescent="0.25">
      <c r="A33" s="9"/>
      <c r="B33" s="33"/>
      <c r="C33" s="34"/>
      <c r="D33" s="20"/>
      <c r="E33" s="30">
        <f t="shared" si="1"/>
        <v>0</v>
      </c>
      <c r="F33" s="10"/>
      <c r="G33" s="23">
        <f t="shared" si="0"/>
        <v>0</v>
      </c>
    </row>
    <row r="34" spans="1:7" ht="12.75" customHeight="1" x14ac:dyDescent="0.25">
      <c r="A34" s="9"/>
      <c r="B34" s="33"/>
      <c r="C34" s="34"/>
      <c r="D34" s="20"/>
      <c r="E34" s="30">
        <f t="shared" si="1"/>
        <v>0</v>
      </c>
      <c r="F34" s="10"/>
      <c r="G34" s="23">
        <f t="shared" si="0"/>
        <v>0</v>
      </c>
    </row>
    <row r="35" spans="1:7" ht="12.75" customHeight="1" x14ac:dyDescent="0.25">
      <c r="A35" s="9"/>
      <c r="B35" s="33"/>
      <c r="C35" s="34"/>
      <c r="D35" s="20"/>
      <c r="E35" s="30">
        <f t="shared" si="1"/>
        <v>0</v>
      </c>
      <c r="F35" s="10"/>
      <c r="G35" s="23">
        <f t="shared" si="0"/>
        <v>0</v>
      </c>
    </row>
    <row r="36" spans="1:7" ht="12.75" customHeight="1" x14ac:dyDescent="0.25">
      <c r="A36" s="9"/>
      <c r="B36" s="33"/>
      <c r="C36" s="34"/>
      <c r="D36" s="20"/>
      <c r="E36" s="30">
        <f t="shared" si="1"/>
        <v>0</v>
      </c>
      <c r="F36" s="10"/>
      <c r="G36" s="23">
        <f t="shared" si="0"/>
        <v>0</v>
      </c>
    </row>
    <row r="37" spans="1:7" ht="12.75" customHeight="1" x14ac:dyDescent="0.25">
      <c r="A37" s="9"/>
      <c r="B37" s="33"/>
      <c r="C37" s="34"/>
      <c r="D37" s="20"/>
      <c r="E37" s="30">
        <f t="shared" si="1"/>
        <v>0</v>
      </c>
      <c r="F37" s="10"/>
      <c r="G37" s="23">
        <f t="shared" si="0"/>
        <v>0</v>
      </c>
    </row>
    <row r="38" spans="1:7" ht="12.75" customHeight="1" x14ac:dyDescent="0.25">
      <c r="A38" s="9"/>
      <c r="B38" s="33"/>
      <c r="C38" s="34"/>
      <c r="D38" s="20"/>
      <c r="E38" s="30">
        <f t="shared" si="1"/>
        <v>0</v>
      </c>
      <c r="F38" s="10"/>
      <c r="G38" s="23">
        <f t="shared" si="0"/>
        <v>0</v>
      </c>
    </row>
    <row r="39" spans="1:7" ht="12.75" customHeight="1" x14ac:dyDescent="0.25">
      <c r="A39" s="9"/>
      <c r="B39" s="33"/>
      <c r="C39" s="34"/>
      <c r="D39" s="20"/>
      <c r="E39" s="30">
        <f t="shared" si="1"/>
        <v>0</v>
      </c>
      <c r="F39" s="10"/>
      <c r="G39" s="23">
        <f t="shared" si="0"/>
        <v>0</v>
      </c>
    </row>
    <row r="40" spans="1:7" ht="12.75" customHeight="1" x14ac:dyDescent="0.25">
      <c r="A40" s="9"/>
      <c r="B40" s="33"/>
      <c r="C40" s="34"/>
      <c r="D40" s="20"/>
      <c r="E40" s="30">
        <f t="shared" si="1"/>
        <v>0</v>
      </c>
      <c r="F40" s="10"/>
      <c r="G40" s="23">
        <f t="shared" si="0"/>
        <v>0</v>
      </c>
    </row>
    <row r="41" spans="1:7" ht="12.75" customHeight="1" x14ac:dyDescent="0.25">
      <c r="A41" s="9"/>
      <c r="B41" s="33"/>
      <c r="C41" s="34"/>
      <c r="D41" s="20"/>
      <c r="E41" s="30">
        <f t="shared" si="1"/>
        <v>0</v>
      </c>
      <c r="F41" s="10"/>
      <c r="G41" s="23">
        <f t="shared" si="0"/>
        <v>0</v>
      </c>
    </row>
    <row r="42" spans="1:7" ht="12.75" customHeight="1" x14ac:dyDescent="0.25">
      <c r="A42" s="9"/>
      <c r="B42" s="33"/>
      <c r="C42" s="34"/>
      <c r="D42" s="20"/>
      <c r="E42" s="30">
        <f t="shared" si="1"/>
        <v>0</v>
      </c>
      <c r="F42" s="10"/>
      <c r="G42" s="23">
        <f t="shared" si="0"/>
        <v>0</v>
      </c>
    </row>
    <row r="43" spans="1:7" ht="12.75" customHeight="1" x14ac:dyDescent="0.25">
      <c r="A43" s="9"/>
      <c r="B43" s="33"/>
      <c r="C43" s="34"/>
      <c r="D43" s="20"/>
      <c r="E43" s="30">
        <f t="shared" si="1"/>
        <v>0</v>
      </c>
      <c r="F43" s="10"/>
      <c r="G43" s="23">
        <f t="shared" si="0"/>
        <v>0</v>
      </c>
    </row>
    <row r="44" spans="1:7" ht="12.75" customHeight="1" x14ac:dyDescent="0.25">
      <c r="A44" s="9"/>
      <c r="B44" s="33"/>
      <c r="C44" s="34"/>
      <c r="D44" s="20"/>
      <c r="E44" s="30">
        <f t="shared" si="1"/>
        <v>0</v>
      </c>
      <c r="F44" s="10"/>
      <c r="G44" s="23">
        <f t="shared" si="0"/>
        <v>0</v>
      </c>
    </row>
    <row r="45" spans="1:7" ht="12.75" customHeight="1" x14ac:dyDescent="0.25">
      <c r="A45" s="9"/>
      <c r="B45" s="33"/>
      <c r="C45" s="34"/>
      <c r="D45" s="20"/>
      <c r="E45" s="30">
        <f t="shared" si="1"/>
        <v>0</v>
      </c>
      <c r="F45" s="10"/>
      <c r="G45" s="23">
        <f t="shared" si="0"/>
        <v>0</v>
      </c>
    </row>
    <row r="46" spans="1:7" ht="12.75" customHeight="1" x14ac:dyDescent="0.25">
      <c r="A46" s="9"/>
      <c r="B46" s="33"/>
      <c r="C46" s="34"/>
      <c r="D46" s="20"/>
      <c r="E46" s="30">
        <f t="shared" si="1"/>
        <v>0</v>
      </c>
      <c r="F46" s="10"/>
      <c r="G46" s="23">
        <f t="shared" si="0"/>
        <v>0</v>
      </c>
    </row>
    <row r="47" spans="1:7" ht="12.75" customHeight="1" x14ac:dyDescent="0.25">
      <c r="A47" s="9"/>
      <c r="B47" s="33"/>
      <c r="C47" s="34"/>
      <c r="D47" s="20"/>
      <c r="E47" s="30">
        <f t="shared" si="1"/>
        <v>0</v>
      </c>
      <c r="F47" s="10"/>
      <c r="G47" s="23">
        <f t="shared" si="0"/>
        <v>0</v>
      </c>
    </row>
    <row r="48" spans="1:7" ht="12.75" customHeight="1" x14ac:dyDescent="0.25">
      <c r="A48" s="9"/>
      <c r="B48" s="33"/>
      <c r="C48" s="34"/>
      <c r="D48" s="20"/>
      <c r="E48" s="30">
        <f t="shared" si="1"/>
        <v>0</v>
      </c>
      <c r="F48" s="10"/>
      <c r="G48" s="23">
        <f t="shared" si="0"/>
        <v>0</v>
      </c>
    </row>
    <row r="49" spans="1:7" ht="12.75" customHeight="1" x14ac:dyDescent="0.25">
      <c r="A49" s="9"/>
      <c r="B49" s="33"/>
      <c r="C49" s="34"/>
      <c r="D49" s="20"/>
      <c r="E49" s="30">
        <f t="shared" si="1"/>
        <v>0</v>
      </c>
      <c r="F49" s="10"/>
      <c r="G49" s="23">
        <f t="shared" si="0"/>
        <v>0</v>
      </c>
    </row>
    <row r="50" spans="1:7" ht="12.75" customHeight="1" x14ac:dyDescent="0.25">
      <c r="A50" s="9"/>
      <c r="B50" s="33"/>
      <c r="C50" s="34"/>
      <c r="D50" s="20"/>
      <c r="E50" s="30">
        <f t="shared" si="1"/>
        <v>0</v>
      </c>
      <c r="F50" s="10"/>
      <c r="G50" s="23">
        <f t="shared" si="0"/>
        <v>0</v>
      </c>
    </row>
    <row r="51" spans="1:7" ht="12.75" customHeight="1" x14ac:dyDescent="0.25">
      <c r="A51" s="9"/>
      <c r="B51" s="33"/>
      <c r="C51" s="34"/>
      <c r="D51" s="20"/>
      <c r="E51" s="30">
        <f t="shared" si="1"/>
        <v>0</v>
      </c>
      <c r="F51" s="10"/>
      <c r="G51" s="23">
        <f t="shared" si="0"/>
        <v>0</v>
      </c>
    </row>
    <row r="52" spans="1:7" ht="12.75" customHeight="1" x14ac:dyDescent="0.25">
      <c r="A52" s="9"/>
      <c r="B52" s="33"/>
      <c r="C52" s="34"/>
      <c r="D52" s="20"/>
      <c r="E52" s="30">
        <f t="shared" si="1"/>
        <v>0</v>
      </c>
      <c r="F52" s="10"/>
      <c r="G52" s="23">
        <f t="shared" si="0"/>
        <v>0</v>
      </c>
    </row>
    <row r="53" spans="1:7" ht="12.75" customHeight="1" x14ac:dyDescent="0.25">
      <c r="A53" s="9"/>
      <c r="B53" s="33"/>
      <c r="C53" s="34"/>
      <c r="D53" s="20"/>
      <c r="E53" s="30">
        <f t="shared" si="1"/>
        <v>0</v>
      </c>
      <c r="F53" s="10"/>
      <c r="G53" s="23">
        <f t="shared" si="0"/>
        <v>0</v>
      </c>
    </row>
    <row r="54" spans="1:7" ht="12.75" customHeight="1" x14ac:dyDescent="0.25">
      <c r="A54" s="9"/>
      <c r="B54" s="33"/>
      <c r="C54" s="34"/>
      <c r="D54" s="20"/>
      <c r="E54" s="30">
        <f t="shared" si="1"/>
        <v>0</v>
      </c>
      <c r="F54" s="10"/>
      <c r="G54" s="23">
        <f t="shared" si="0"/>
        <v>0</v>
      </c>
    </row>
    <row r="55" spans="1:7" ht="12.75" customHeight="1" x14ac:dyDescent="0.25">
      <c r="A55" s="9"/>
      <c r="B55" s="33"/>
      <c r="C55" s="34"/>
      <c r="D55" s="20"/>
      <c r="E55" s="30">
        <f t="shared" si="1"/>
        <v>0</v>
      </c>
      <c r="F55" s="10"/>
      <c r="G55" s="23">
        <f t="shared" si="0"/>
        <v>0</v>
      </c>
    </row>
    <row r="56" spans="1:7" ht="12.75" customHeight="1" x14ac:dyDescent="0.25">
      <c r="A56" s="9"/>
      <c r="B56" s="33"/>
      <c r="C56" s="34"/>
      <c r="D56" s="20"/>
      <c r="E56" s="30">
        <f t="shared" si="1"/>
        <v>0</v>
      </c>
      <c r="F56" s="10"/>
      <c r="G56" s="23">
        <f>ROUND(E56*$C$1+F56,2)</f>
        <v>0</v>
      </c>
    </row>
    <row r="57" spans="1:7" ht="12.75" customHeight="1" x14ac:dyDescent="0.25">
      <c r="A57" s="5"/>
      <c r="B57" s="4"/>
      <c r="C57" s="6"/>
      <c r="D57" s="7"/>
      <c r="E57" s="25">
        <f>SUM(E3:E56)</f>
        <v>0</v>
      </c>
      <c r="F57" s="26">
        <f>SUM(F3:F56)</f>
        <v>0</v>
      </c>
      <c r="G57" s="24">
        <f>SUM(G3:G56)</f>
        <v>0</v>
      </c>
    </row>
    <row r="58" spans="1:7" x14ac:dyDescent="0.25"/>
  </sheetData>
  <sheetProtection algorithmName="SHA-512" hashValue="dQ+dVe/4pmCH0Ge2TTJIZi+87QcoWK+YP4KEkneh6o6LYLm65JWwsW+/RwTyYVRh3a5HXnf70rgEEMBGPbuU/Q==" saltValue="55uCZU9v4PcbT/nwAIxyvA==" spinCount="100000" sheet="1" selectLockedCells="1"/>
  <conditionalFormatting sqref="B3:E56">
    <cfRule type="expression" dxfId="1" priority="1">
      <formula>ISBLANK($B3)</formula>
    </cfRule>
    <cfRule type="expression" dxfId="0" priority="2">
      <formula>$B3-$C3&gt;0</formula>
    </cfRule>
  </conditionalFormatting>
  <dataValidations count="1">
    <dataValidation type="decimal" allowBlank="1" showInputMessage="1" showErrorMessage="1" error="Please enter a valid number." sqref="E3:F56" xr:uid="{00000000-0002-0000-0300-000002000000}">
      <formula1>-999999.99</formula1>
      <formula2>999999.99</formula2>
    </dataValidation>
  </dataValidations>
  <printOptions horizontalCentered="1" verticalCentered="1"/>
  <pageMargins left="0.4" right="0.4" top="0.5" bottom="0.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b596db5-7e3f-4ab1-b78c-76df95096034">
      <Terms xmlns="http://schemas.microsoft.com/office/infopath/2007/PartnerControls"/>
    </lcf76f155ced4ddcb4097134ff3c332f>
    <TaxCatchAll xmlns="5f386fa8-827a-483a-8971-03bb28bdf1b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7BC39F3528F54CAF2D3EAC4BAE2F45" ma:contentTypeVersion="20" ma:contentTypeDescription="Create a new document." ma:contentTypeScope="" ma:versionID="ddca02866f2bf67b85a82d99d4c081f0">
  <xsd:schema xmlns:xsd="http://www.w3.org/2001/XMLSchema" xmlns:xs="http://www.w3.org/2001/XMLSchema" xmlns:p="http://schemas.microsoft.com/office/2006/metadata/properties" xmlns:ns1="http://schemas.microsoft.com/sharepoint/v3" xmlns:ns2="8b596db5-7e3f-4ab1-b78c-76df95096034" xmlns:ns3="5f386fa8-827a-483a-8971-03bb28bdf1ba" targetNamespace="http://schemas.microsoft.com/office/2006/metadata/properties" ma:root="true" ma:fieldsID="1f18d0640f68728d6f753cf0a271b8a1" ns1:_="" ns2:_="" ns3:_="">
    <xsd:import namespace="http://schemas.microsoft.com/sharepoint/v3"/>
    <xsd:import namespace="8b596db5-7e3f-4ab1-b78c-76df95096034"/>
    <xsd:import namespace="5f386fa8-827a-483a-8971-03bb28bdf1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96db5-7e3f-4ab1-b78c-76df95096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c2d1c6a-5b2e-41c9-bb75-28e62ca304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86fa8-827a-483a-8971-03bb28bdf1b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9911c3e-6055-462a-8aff-809653168ec5}" ma:internalName="TaxCatchAll" ma:showField="CatchAllData" ma:web="5f386fa8-827a-483a-8971-03bb28bdf1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B7B7FA-86DE-4996-AF94-6FA94F978F77}">
  <ds:schemaRefs>
    <ds:schemaRef ds:uri="http://schemas.microsoft.com/office/2006/metadata/properties"/>
    <ds:schemaRef ds:uri="http://schemas.microsoft.com/office/infopath/2007/PartnerControls"/>
    <ds:schemaRef ds:uri="79c1766f-cecd-493e-a411-5574639452d0"/>
    <ds:schemaRef ds:uri="http://schemas.microsoft.com/sharepoint/v3"/>
    <ds:schemaRef ds:uri="8b596db5-7e3f-4ab1-b78c-76df95096034"/>
    <ds:schemaRef ds:uri="5f386fa8-827a-483a-8971-03bb28bdf1ba"/>
  </ds:schemaRefs>
</ds:datastoreItem>
</file>

<file path=customXml/itemProps2.xml><?xml version="1.0" encoding="utf-8"?>
<ds:datastoreItem xmlns:ds="http://schemas.openxmlformats.org/officeDocument/2006/customXml" ds:itemID="{34CF5E38-BBC0-4DC1-AEE0-FE5188689F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596db5-7e3f-4ab1-b78c-76df95096034"/>
    <ds:schemaRef ds:uri="5f386fa8-827a-483a-8971-03bb28bdf1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A55A11-A87C-404A-894A-0AB9CCFAAA7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4d1747d-9ad3-4664-9f0b-aa1babe32c5d}" enabled="1" method="Standard" siteId="{61e6eeb3-5fd7-4aaa-ae3c-61e8deb09b7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Reimbursement Request</vt:lpstr>
      <vt:lpstr>Receipt Detail</vt:lpstr>
      <vt:lpstr>Lookups</vt:lpstr>
      <vt:lpstr>Additional Varied Travel</vt:lpstr>
      <vt:lpstr>'Reimbursement Request'!Print_Area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Reimbursement Request (US and Canada).xlsx</dc:title>
  <dc:subject/>
  <dc:creator>Nicole Tonks</dc:creator>
  <cp:keywords/>
  <dc:description/>
  <cp:lastModifiedBy>Jonathan Saunders</cp:lastModifiedBy>
  <cp:revision/>
  <cp:lastPrinted>2025-09-08T20:53:28Z</cp:lastPrinted>
  <dcterms:created xsi:type="dcterms:W3CDTF">2004-12-09T00:55:53Z</dcterms:created>
  <dcterms:modified xsi:type="dcterms:W3CDTF">2026-04-23T15:49:39Z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0x01010050F93DFA116BE54BB81A918629F0474D</vt:lpwstr>
  </property>
  <property fmtid="{D5CDD505-2E9C-101B-9397-08002B2CF9AE}" pid="3" name="SI Site Area">
    <vt:lpwstr>;#Finance;#</vt:lpwstr>
  </property>
  <property fmtid="{D5CDD505-2E9C-101B-9397-08002B2CF9AE}" pid="4" name="MSIP_Label_03ef5274-90b8-4b3f-8a76-b4c36a43e904_Enabled">
    <vt:lpwstr>true</vt:lpwstr>
  </property>
  <property fmtid="{D5CDD505-2E9C-101B-9397-08002B2CF9AE}" pid="5" name="MSIP_Label_03ef5274-90b8-4b3f-8a76-b4c36a43e904_SetDate">
    <vt:lpwstr>2020-02-03T20:11:08Z</vt:lpwstr>
  </property>
  <property fmtid="{D5CDD505-2E9C-101B-9397-08002B2CF9AE}" pid="6" name="MSIP_Label_03ef5274-90b8-4b3f-8a76-b4c36a43e904_Method">
    <vt:lpwstr>Standard</vt:lpwstr>
  </property>
  <property fmtid="{D5CDD505-2E9C-101B-9397-08002B2CF9AE}" pid="7" name="MSIP_Label_03ef5274-90b8-4b3f-8a76-b4c36a43e904_Name">
    <vt:lpwstr>Not Protected_2</vt:lpwstr>
  </property>
  <property fmtid="{D5CDD505-2E9C-101B-9397-08002B2CF9AE}" pid="8" name="MSIP_Label_03ef5274-90b8-4b3f-8a76-b4c36a43e904_SiteId">
    <vt:lpwstr>61e6eeb3-5fd7-4aaa-ae3c-61e8deb09b79</vt:lpwstr>
  </property>
  <property fmtid="{D5CDD505-2E9C-101B-9397-08002B2CF9AE}" pid="9" name="MSIP_Label_03ef5274-90b8-4b3f-8a76-b4c36a43e904_ActionId">
    <vt:lpwstr>b84a3de4-6f21-4c1c-9b15-00004e8e15fd</vt:lpwstr>
  </property>
  <property fmtid="{D5CDD505-2E9C-101B-9397-08002B2CF9AE}" pid="10" name="MSIP_Label_03ef5274-90b8-4b3f-8a76-b4c36a43e904_ContentBits">
    <vt:lpwstr>0</vt:lpwstr>
  </property>
  <property fmtid="{D5CDD505-2E9C-101B-9397-08002B2CF9AE}" pid="11" name="Language">
    <vt:lpwstr>English</vt:lpwstr>
  </property>
  <property fmtid="{D5CDD505-2E9C-101B-9397-08002B2CF9AE}" pid="12" name="Workforce">
    <vt:lpwstr>Employee</vt:lpwstr>
  </property>
  <property fmtid="{D5CDD505-2E9C-101B-9397-08002B2CF9AE}" pid="13" name="Function">
    <vt:lpwstr>All S&amp;I</vt:lpwstr>
  </property>
  <property fmtid="{D5CDD505-2E9C-101B-9397-08002B2CF9AE}" pid="14" name="MediaServiceImageTags">
    <vt:lpwstr/>
  </property>
</Properties>
</file>